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elki\Desktop\Claude\EtsyShop\Products\04-Bill-Organizer\"/>
    </mc:Choice>
  </mc:AlternateContent>
  <xr:revisionPtr revIDLastSave="0" documentId="13_ncr:1_{CD8AB2D8-DB96-4F6F-A198-B36B419039AA}" xr6:coauthVersionLast="47" xr6:coauthVersionMax="47" xr10:uidLastSave="{00000000-0000-0000-0000-000000000000}"/>
  <bookViews>
    <workbookView xWindow="-120" yWindow="-120" windowWidth="38640" windowHeight="21120" activeTab="5" xr2:uid="{00000000-000D-0000-FFFF-FFFF00000000}"/>
  </bookViews>
  <sheets>
    <sheet name="📊 Dashboard" sheetId="1" r:id="rId1"/>
    <sheet name="📋 Bill List" sheetId="2" r:id="rId2"/>
    <sheet name="✅ Monthly Checklist" sheetId="3" r:id="rId3"/>
    <sheet name="📱 Subscription Tracker" sheetId="4" r:id="rId4"/>
    <sheet name="📅 Annual Calendar" sheetId="5" r:id="rId5"/>
    <sheet name="📖 Instruction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9" i="3" l="1" a="1"/>
  <c r="E289" i="3" s="1"/>
  <c r="E265" i="3" a="1"/>
  <c r="E265" i="3" s="1"/>
  <c r="E241" i="3" a="1"/>
  <c r="E241" i="3" s="1"/>
  <c r="E217" i="3" a="1"/>
  <c r="E217" i="3" s="1"/>
  <c r="E193" i="3" a="1"/>
  <c r="E193" i="3" s="1"/>
  <c r="E169" i="3" a="1"/>
  <c r="E169" i="3" s="1"/>
  <c r="E145" i="3" a="1"/>
  <c r="E145" i="3"/>
  <c r="E121" i="3" a="1"/>
  <c r="E121" i="3"/>
  <c r="E97" i="3" a="1"/>
  <c r="E97" i="3"/>
  <c r="E73" i="3" a="1"/>
  <c r="E73" i="3" s="1"/>
  <c r="E49" i="3" a="1"/>
  <c r="E49" i="3" s="1"/>
  <c r="E25" i="3" a="1"/>
  <c r="E25" i="3" s="1"/>
  <c r="D26" i="4"/>
  <c r="D25" i="4"/>
  <c r="D28" i="4" a="1"/>
  <c r="D28" i="4" s="1"/>
  <c r="G14" i="1" a="1"/>
  <c r="G14" i="1" s="1"/>
  <c r="G25" i="1" a="1"/>
  <c r="G25" i="1" s="1"/>
  <c r="G24" i="1" a="1"/>
  <c r="G24" i="1" s="1"/>
  <c r="G23" i="1" a="1"/>
  <c r="G23" i="1" s="1"/>
  <c r="G22" i="1" a="1"/>
  <c r="G22" i="1" s="1"/>
  <c r="H22" i="1" s="1"/>
  <c r="G21" i="1" a="1"/>
  <c r="G21" i="1" s="1"/>
  <c r="G20" i="1" a="1"/>
  <c r="G20" i="1" s="1"/>
  <c r="G19" i="1" a="1"/>
  <c r="G19" i="1" s="1"/>
  <c r="G18" i="1" a="1"/>
  <c r="G18" i="1" s="1"/>
  <c r="G17" i="1" a="1"/>
  <c r="G17" i="1" s="1"/>
  <c r="H17" i="1" s="1"/>
  <c r="G16" i="1" a="1"/>
  <c r="G16" i="1" s="1"/>
  <c r="G15" i="1" a="1"/>
  <c r="G15" i="1" s="1"/>
  <c r="X25" i="5"/>
  <c r="V25" i="5"/>
  <c r="T25" i="5"/>
  <c r="R25" i="5"/>
  <c r="P25" i="5"/>
  <c r="N25" i="5"/>
  <c r="L25" i="5"/>
  <c r="J25" i="5"/>
  <c r="H25" i="5"/>
  <c r="F25" i="5"/>
  <c r="D25" i="5"/>
  <c r="B25" i="5"/>
  <c r="C22" i="4"/>
  <c r="D22" i="4" s="1"/>
  <c r="D21" i="4"/>
  <c r="D20" i="4"/>
  <c r="D19" i="4"/>
  <c r="D18" i="4"/>
  <c r="D17" i="4"/>
  <c r="D16" i="4"/>
  <c r="D15" i="4"/>
  <c r="D14" i="4"/>
  <c r="D13" i="4"/>
  <c r="D12" i="4"/>
  <c r="D11" i="4"/>
  <c r="D10" i="4"/>
  <c r="D9" i="4"/>
  <c r="D8" i="4"/>
  <c r="D7" i="4"/>
  <c r="D6" i="4"/>
  <c r="D5" i="4"/>
  <c r="D4" i="4"/>
  <c r="D3" i="4"/>
  <c r="C289" i="3"/>
  <c r="C265" i="3"/>
  <c r="C241" i="3"/>
  <c r="C217" i="3"/>
  <c r="C193" i="3"/>
  <c r="C169" i="3"/>
  <c r="C145" i="3"/>
  <c r="C121" i="3"/>
  <c r="C97" i="3"/>
  <c r="C73" i="3"/>
  <c r="C49" i="3"/>
  <c r="C25" i="3"/>
  <c r="C43" i="2"/>
  <c r="C42" i="2"/>
  <c r="F25" i="1"/>
  <c r="D25" i="1"/>
  <c r="E25" i="1" s="1"/>
  <c r="C25" i="1"/>
  <c r="F24" i="1"/>
  <c r="D24" i="1"/>
  <c r="C24" i="1"/>
  <c r="E24" i="1" s="1"/>
  <c r="D23" i="1"/>
  <c r="E23" i="1" s="1"/>
  <c r="C23" i="1"/>
  <c r="F22" i="1"/>
  <c r="D22" i="1"/>
  <c r="C22" i="1"/>
  <c r="E22" i="1" s="1"/>
  <c r="J21" i="1"/>
  <c r="L21" i="1" s="1"/>
  <c r="F21" i="1"/>
  <c r="E21" i="1"/>
  <c r="D21" i="1"/>
  <c r="C21" i="1"/>
  <c r="J20" i="1"/>
  <c r="L20" i="1" s="1"/>
  <c r="F20" i="1"/>
  <c r="D20" i="1"/>
  <c r="E20" i="1" s="1"/>
  <c r="C20" i="1"/>
  <c r="J19" i="1"/>
  <c r="L19" i="1" s="1"/>
  <c r="F19" i="1"/>
  <c r="D19" i="1"/>
  <c r="C19" i="1"/>
  <c r="E19" i="1" s="1"/>
  <c r="J18" i="1"/>
  <c r="L18" i="1" s="1"/>
  <c r="F18" i="1"/>
  <c r="D18" i="1"/>
  <c r="C18" i="1"/>
  <c r="E18" i="1" s="1"/>
  <c r="L17" i="1"/>
  <c r="J17" i="1"/>
  <c r="F17" i="1"/>
  <c r="E17" i="1"/>
  <c r="D17" i="1"/>
  <c r="C17" i="1"/>
  <c r="J16" i="1"/>
  <c r="L16" i="1" s="1"/>
  <c r="F16" i="1"/>
  <c r="D16" i="1"/>
  <c r="C16" i="1"/>
  <c r="E16" i="1" s="1"/>
  <c r="J15" i="1"/>
  <c r="L15" i="1" s="1"/>
  <c r="F15" i="1"/>
  <c r="D15" i="1"/>
  <c r="C15" i="1"/>
  <c r="E15" i="1" s="1"/>
  <c r="J14" i="1"/>
  <c r="L14" i="1" s="1"/>
  <c r="L22" i="1" s="1"/>
  <c r="F14" i="1"/>
  <c r="D14" i="1"/>
  <c r="D26" i="1" s="1"/>
  <c r="C14" i="1"/>
  <c r="C26" i="1" s="1"/>
  <c r="J8" i="1"/>
  <c r="B8" i="1"/>
  <c r="J5" i="1"/>
  <c r="F5" i="1"/>
  <c r="B5" i="1"/>
  <c r="H25" i="1" l="1"/>
  <c r="H24" i="1"/>
  <c r="H21" i="1"/>
  <c r="H20" i="1"/>
  <c r="H19" i="1"/>
  <c r="H18" i="1"/>
  <c r="H16" i="1"/>
  <c r="H15" i="1"/>
  <c r="G26" i="1"/>
  <c r="D27" i="4"/>
  <c r="F8" i="1"/>
  <c r="J22" i="1"/>
  <c r="H14" i="1"/>
  <c r="H26" i="1" s="1"/>
  <c r="E14" i="1"/>
  <c r="E26" i="1" s="1"/>
  <c r="F23" i="1"/>
  <c r="H23" i="1" s="1"/>
  <c r="K21" i="1" l="1"/>
  <c r="K19" i="1"/>
  <c r="K17" i="1"/>
  <c r="K14" i="1"/>
  <c r="K15" i="1"/>
  <c r="K20" i="1"/>
  <c r="K18" i="1"/>
  <c r="K16" i="1"/>
  <c r="F2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<sst xmlns="http://schemas.openxmlformats.org/spreadsheetml/2006/main" count="671" uniqueCount="217">
  <si>
    <t>BILL ORGANIZER &amp; PAYMENT TRACKER</t>
  </si>
  <si>
    <t>Your complete monthly bill management dashboard</t>
  </si>
  <si>
    <t>Total Monthly Bills</t>
  </si>
  <si>
    <t>Bills Paid This Month</t>
  </si>
  <si>
    <t>Bills Remaining</t>
  </si>
  <si>
    <t>Overdue Bills</t>
  </si>
  <si>
    <t>Total Subscriptions</t>
  </si>
  <si>
    <t>Annual Bill Total</t>
  </si>
  <si>
    <t>MONTHLY SUMMARY</t>
  </si>
  <si>
    <t>CATEGORY BREAKDOWN</t>
  </si>
  <si>
    <t>Month</t>
  </si>
  <si>
    <t>Total Bills</t>
  </si>
  <si>
    <t>Paid</t>
  </si>
  <si>
    <t>Unpaid</t>
  </si>
  <si>
    <t>Amount Due</t>
  </si>
  <si>
    <t>Amount Paid</t>
  </si>
  <si>
    <t>Balance</t>
  </si>
  <si>
    <t>Category</t>
  </si>
  <si>
    <t>Monthly Total</t>
  </si>
  <si>
    <t>% of Total</t>
  </si>
  <si>
    <t>Annual Total</t>
  </si>
  <si>
    <t>Jan</t>
  </si>
  <si>
    <t>Housing</t>
  </si>
  <si>
    <t>Feb</t>
  </si>
  <si>
    <t>Utilities</t>
  </si>
  <si>
    <t>Mar</t>
  </si>
  <si>
    <t>Insurance</t>
  </si>
  <si>
    <t>Apr</t>
  </si>
  <si>
    <t>Transportation</t>
  </si>
  <si>
    <t>May</t>
  </si>
  <si>
    <t>Subscriptions</t>
  </si>
  <si>
    <t>Jun</t>
  </si>
  <si>
    <t>Loans</t>
  </si>
  <si>
    <t>Jul</t>
  </si>
  <si>
    <t>Medical</t>
  </si>
  <si>
    <t>Aug</t>
  </si>
  <si>
    <t>Other</t>
  </si>
  <si>
    <t>Sep</t>
  </si>
  <si>
    <t>TOTAL</t>
  </si>
  <si>
    <t>Oct</t>
  </si>
  <si>
    <t>Nov</t>
  </si>
  <si>
    <t>Dec</t>
  </si>
  <si>
    <t>MASTER BILL LIST</t>
  </si>
  <si>
    <t>Bill Name</t>
  </si>
  <si>
    <t>Amount</t>
  </si>
  <si>
    <t>Due Date</t>
  </si>
  <si>
    <t>Frequency</t>
  </si>
  <si>
    <t>Payment Method</t>
  </si>
  <si>
    <t>Auto-Pay?</t>
  </si>
  <si>
    <t>Account # (Last 4)</t>
  </si>
  <si>
    <t>Website/App</t>
  </si>
  <si>
    <t>Notes</t>
  </si>
  <si>
    <t>Rent/Mortgage</t>
  </si>
  <si>
    <t>1st</t>
  </si>
  <si>
    <t>Monthly</t>
  </si>
  <si>
    <t>Bank Transfer</t>
  </si>
  <si>
    <t>Yes</t>
  </si>
  <si>
    <t>Electric</t>
  </si>
  <si>
    <t>15th</t>
  </si>
  <si>
    <t>Auto-Pay</t>
  </si>
  <si>
    <t>Gas/Heating</t>
  </si>
  <si>
    <t>18th</t>
  </si>
  <si>
    <t>Water/Sewer</t>
  </si>
  <si>
    <t>20th</t>
  </si>
  <si>
    <t>Internet</t>
  </si>
  <si>
    <t>12th</t>
  </si>
  <si>
    <t>Credit Card</t>
  </si>
  <si>
    <t>Phone</t>
  </si>
  <si>
    <t>22nd</t>
  </si>
  <si>
    <t>Car Insurance</t>
  </si>
  <si>
    <t>5th</t>
  </si>
  <si>
    <t>Health Insurance</t>
  </si>
  <si>
    <t>Payroll</t>
  </si>
  <si>
    <t>Car Payment</t>
  </si>
  <si>
    <t>10th</t>
  </si>
  <si>
    <t>Student Loan</t>
  </si>
  <si>
    <t>25th</t>
  </si>
  <si>
    <t>Netflix</t>
  </si>
  <si>
    <t>8th</t>
  </si>
  <si>
    <t>Spotify</t>
  </si>
  <si>
    <t>14th</t>
  </si>
  <si>
    <t>Gym</t>
  </si>
  <si>
    <t>No</t>
  </si>
  <si>
    <t>Renters Insurance</t>
  </si>
  <si>
    <t>Cloud Storage</t>
  </si>
  <si>
    <t>TOTAL MONTHLY</t>
  </si>
  <si>
    <t>TOTAL ANNUAL (EST.)</t>
  </si>
  <si>
    <t>MONTHLY PAYMENT CHECKLIST</t>
  </si>
  <si>
    <t>JANUARY</t>
  </si>
  <si>
    <t>Paid?</t>
  </si>
  <si>
    <t>Date Paid</t>
  </si>
  <si>
    <t>Confirmation #</t>
  </si>
  <si>
    <t>Jan 1st</t>
  </si>
  <si>
    <t>01/01</t>
  </si>
  <si>
    <t>Jan 15th</t>
  </si>
  <si>
    <t>01/15</t>
  </si>
  <si>
    <t>Jan 18th</t>
  </si>
  <si>
    <t>01/18</t>
  </si>
  <si>
    <t>Jan 20th</t>
  </si>
  <si>
    <t>01/20</t>
  </si>
  <si>
    <t>Jan 12th</t>
  </si>
  <si>
    <t>01/12</t>
  </si>
  <si>
    <t>Jan 22nd</t>
  </si>
  <si>
    <t>01/22</t>
  </si>
  <si>
    <t>Jan 5th</t>
  </si>
  <si>
    <t>01/05</t>
  </si>
  <si>
    <t>Jan 10th</t>
  </si>
  <si>
    <t>Jan 25th</t>
  </si>
  <si>
    <t>Jan 8th</t>
  </si>
  <si>
    <t>Jan 14th</t>
  </si>
  <si>
    <t>MONTHLY TOTAL</t>
  </si>
  <si>
    <t>FEBRUARY</t>
  </si>
  <si>
    <t>MARCH</t>
  </si>
  <si>
    <t>APRIL</t>
  </si>
  <si>
    <t>MAY</t>
  </si>
  <si>
    <t>JUNE</t>
  </si>
  <si>
    <t>JULY</t>
  </si>
  <si>
    <t>AUGUST</t>
  </si>
  <si>
    <t>SEPTEMBER</t>
  </si>
  <si>
    <t>OCTOBER</t>
  </si>
  <si>
    <t>NOVEMBER</t>
  </si>
  <si>
    <t>DECEMBER</t>
  </si>
  <si>
    <t>SUBSCRIPTION TRACKER</t>
  </si>
  <si>
    <t>Service Name</t>
  </si>
  <si>
    <t>Monthly Cost</t>
  </si>
  <si>
    <t>Annual Cost</t>
  </si>
  <si>
    <t>Billing Cycle</t>
  </si>
  <si>
    <t>Last Renewed</t>
  </si>
  <si>
    <t>Next Renewal</t>
  </si>
  <si>
    <t>Still Using?</t>
  </si>
  <si>
    <t>Worth Keeping?</t>
  </si>
  <si>
    <t>Cancel Link</t>
  </si>
  <si>
    <t>Entertainment</t>
  </si>
  <si>
    <t>Music</t>
  </si>
  <si>
    <t>Amazon Prime</t>
  </si>
  <si>
    <t>Shopping</t>
  </si>
  <si>
    <t>Gym Membership</t>
  </si>
  <si>
    <t>Health</t>
  </si>
  <si>
    <t>Tech</t>
  </si>
  <si>
    <t>Streaming Service 2</t>
  </si>
  <si>
    <t>News Subscription</t>
  </si>
  <si>
    <t>Education</t>
  </si>
  <si>
    <t>Password Manager</t>
  </si>
  <si>
    <t>SUBSCRIPTION SUMMARY</t>
  </si>
  <si>
    <t>Total Monthly Subscription Cost</t>
  </si>
  <si>
    <t>Total Annual Subscription Cost</t>
  </si>
  <si>
    <t>Potential Monthly Savings (Not Worth Keeping)</t>
  </si>
  <si>
    <t>Potential Annual Savings (Not Worth Keeping)</t>
  </si>
  <si>
    <t>ANNUAL BILL CALENDAR</t>
  </si>
  <si>
    <t>Bird's eye view of all bills by month  |  Color-coded by category</t>
  </si>
  <si>
    <t>Bill</t>
  </si>
  <si>
    <t>1st - Rent/Mortgage</t>
  </si>
  <si>
    <t>15th - Electric</t>
  </si>
  <si>
    <t>18th - Gas/Heating</t>
  </si>
  <si>
    <t>20th - Water/Sewer</t>
  </si>
  <si>
    <t>12th - Internet</t>
  </si>
  <si>
    <t>22nd - Phone</t>
  </si>
  <si>
    <t>5th - Car Insurance</t>
  </si>
  <si>
    <t>1st - Health Insurance</t>
  </si>
  <si>
    <t>10th - Car Payment</t>
  </si>
  <si>
    <t>25th - Student Loan</t>
  </si>
  <si>
    <t>8th - Netflix</t>
  </si>
  <si>
    <t>14th - Spotify</t>
  </si>
  <si>
    <t>1st - Gym</t>
  </si>
  <si>
    <t>1st - Renters Insurance</t>
  </si>
  <si>
    <t>20th - Cloud Storage</t>
  </si>
  <si>
    <t>CATEGORY LEGEND</t>
  </si>
  <si>
    <t>Setup Guide &amp; Instructions</t>
  </si>
  <si>
    <t>Welcome to your Bill Organizer!</t>
  </si>
  <si>
    <t>This workbook helps you track every recurring bill, manage monthly payments, audit subscriptions, and plan ahead for the entire year. Follow the setup steps below to get started.</t>
  </si>
  <si>
    <t>SETUP STEPS</t>
  </si>
  <si>
    <t>1.</t>
  </si>
  <si>
    <t>Step 1: Make a Copy</t>
  </si>
  <si>
    <t>Save a copy of this file so you always have a clean template. Name your working copy something like 'Bills-2026.xlsx'.</t>
  </si>
  <si>
    <t>2.</t>
  </si>
  <si>
    <t>Step 2: Set Up Your Bill List</t>
  </si>
  <si>
    <t>Go to the 'Bill List' tab. Enter ALL your recurring bills - rent, utilities, insurance, loans, subscriptions, and anything you pay regularly. Fill in the amount, due date, frequency, and payment method for each.</t>
  </si>
  <si>
    <t>3.</t>
  </si>
  <si>
    <t>Step 3: Set Up the Subscription Tracker</t>
  </si>
  <si>
    <t>Go to the 'Subscription Tracker' tab. Enter every subscription you pay for - streaming services, apps, memberships, software. Be honest about the 'Still Using?' and 'Worth Keeping?' columns.</t>
  </si>
  <si>
    <t>4.</t>
  </si>
  <si>
    <t>Step 4: Use the Monthly Checklist</t>
  </si>
  <si>
    <t>Each month, go to the 'Monthly Checklist' tab and enter your bills for that month. Mark each as 'Yes' when paid, and record the date paid and confirmation number. This is your payment proof.</t>
  </si>
  <si>
    <t>5.</t>
  </si>
  <si>
    <t>Step 5: Check the Dashboard</t>
  </si>
  <si>
    <t>The 'Dashboard' tab gives you an overview of your monthly bill situation - total bills, what's paid, what's remaining, and a category breakdown. Check it regularly.</t>
  </si>
  <si>
    <t>6.</t>
  </si>
  <si>
    <t>Step 6: Review the Annual Calendar</t>
  </si>
  <si>
    <t>The 'Annual Calendar' tab shows all your bills across the entire year. Use it to plan ahead for expensive months and avoid surprises.</t>
  </si>
  <si>
    <t>7.</t>
  </si>
  <si>
    <t>Step 7: Audit Subscriptions Quarterly</t>
  </si>
  <si>
    <t>Every 3 months, review the Subscription Tracker. Cancel anything you marked 'No' for 'Worth Keeping'. The potential savings section shows how much you could save.</t>
  </si>
  <si>
    <t>PRO TIPS</t>
  </si>
  <si>
    <t>TIP</t>
  </si>
  <si>
    <t>Set up auto-pay for every bill possible. This eliminates the risk of late fees and missed payments. Only keep manual payments for variable-amount bills.</t>
  </si>
  <si>
    <t>Check the Subscription Tracker quarterly - cancel what you don't use. The average person wastes $30-50/month on forgotten subscriptions.</t>
  </si>
  <si>
    <t>Use the Annual Calendar to plan ahead for expensive months. If you know March has high bills, start saving a little extra in January and February.</t>
  </si>
  <si>
    <t>Keep confirmation numbers in the Monthly Checklist for disputes. If a payment ever goes missing or gets double-charged, you'll have proof.</t>
  </si>
  <si>
    <t>Review your Dashboard at the start of each month. Know exactly what's due, what's already on auto-pay, and what needs manual attention.</t>
  </si>
  <si>
    <t>Set calendar reminders 3 days before any bill that isn't on auto-pay. Prevention is easier than paying late fees.</t>
  </si>
  <si>
    <t>If a bill amount changes, update BOTH the Bill List and the current month's checklist entry.</t>
  </si>
  <si>
    <t>FREQUENTLY ASKED QUESTIONS</t>
  </si>
  <si>
    <t>Q</t>
  </si>
  <si>
    <t>Q: How do I add a new bill?</t>
  </si>
  <si>
    <t>A</t>
  </si>
  <si>
    <t>A: Go to the 'Bill List' tab and enter the bill details in the next empty row. Then add it to the 'Monthly Checklist' for each month it's due.</t>
  </si>
  <si>
    <t>Q: What if a bill amount changes each month?</t>
  </si>
  <si>
    <t>A: Put the average or typical amount in the Bill List. In the Monthly Checklist, enter the actual amount each month. The checklist total will be accurate.</t>
  </si>
  <si>
    <t>Q: How do I track quarterly or annual bills?</t>
  </si>
  <si>
    <t>A: In the Bill List, set the Frequency to 'Quarterly' or 'Annual'. Then add the bill only to the specific months it's due in the Monthly Checklist.</t>
  </si>
  <si>
    <t>Q: Can I customize the categories?</t>
  </si>
  <si>
    <t>A: Yes! The category dropdown can be updated. Right-click on a category cell, go to Data Validation, and edit the list.</t>
  </si>
  <si>
    <t>Q: What's the difference between the Bill List and Monthly Checklist?</t>
  </si>
  <si>
    <t>A: The Bill List is your master reference of ALL recurring bills. The Monthly Checklist is where you track actual payments month by month - think of it as your payment diary.</t>
  </si>
  <si>
    <t>Q: How do I know if I'm overspending on subscriptions?</t>
  </si>
  <si>
    <t>A: Check the Subscription Tracker summary at the bottom. Mark services you don't use or that aren't worth the cost - the 'Potential Savings' will show your waste.</t>
  </si>
  <si>
    <t>Made with care. Stay on top of your bills!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</si>
</sst>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2" x14ac:knownFonts="1">
    <font>
      <sz val="11"/>
      <color theme="1"/>
      <name val="Calibri"/>
      <family val="2"/>
      <scheme val="minor"/>
    </font>
    <font>
      <b/>
      <sz val="18"/>
      <color rgb="FFFFFFFF"/>
      <name val="Calibri"/>
    </font>
    <font>
      <i/>
      <sz val="11"/>
      <color rgb="FFFFFFFF"/>
      <name val="Calibri"/>
    </font>
    <font>
      <b/>
      <sz val="20"/>
      <color rgb="FFFFFFFF"/>
      <name val="Calibri"/>
    </font>
    <font>
      <sz val="10"/>
      <color rgb="FFFFFFFF"/>
      <name val="Calibri"/>
    </font>
    <font>
      <b/>
      <sz val="14"/>
      <color rgb="FFFFFFFF"/>
      <name val="Calibri"/>
    </font>
    <font>
      <b/>
      <sz val="12"/>
      <color rgb="FFFFFFFF"/>
      <name val="Calibri"/>
    </font>
    <font>
      <sz val="11"/>
      <color rgb="FF2C3E50"/>
      <name val="Calibri"/>
    </font>
    <font>
      <b/>
      <sz val="11"/>
      <color rgb="FF2C3E50"/>
      <name val="Calibri"/>
    </font>
    <font>
      <b/>
      <sz val="11"/>
      <color rgb="FFFFFFFF"/>
      <name val="Calibri"/>
    </font>
    <font>
      <b/>
      <sz val="11"/>
      <color rgb="FFE74C3C"/>
      <name val="Calibri"/>
    </font>
    <font>
      <i/>
      <sz val="10"/>
      <color rgb="FFFFFFFF"/>
      <name val="Calibri"/>
    </font>
    <font>
      <sz val="9"/>
      <color rgb="FFFFFFFF"/>
      <name val="Calibri"/>
    </font>
    <font>
      <b/>
      <sz val="9"/>
      <color rgb="FFFFFFFF"/>
      <name val="Calibri"/>
    </font>
    <font>
      <b/>
      <sz val="10"/>
      <color rgb="FFFFFFFF"/>
      <name val="Calibri"/>
    </font>
    <font>
      <i/>
      <sz val="13"/>
      <color rgb="FFFFFFFF"/>
      <name val="Calibri"/>
    </font>
    <font>
      <b/>
      <sz val="14"/>
      <color rgb="FF2C3E50"/>
      <name val="Calibri"/>
    </font>
    <font>
      <b/>
      <sz val="9"/>
      <color rgb="FF27AE60"/>
      <name val="Calibri"/>
    </font>
    <font>
      <i/>
      <sz val="11"/>
      <color rgb="FF27AE60"/>
      <name val="Calibri"/>
    </font>
    <font>
      <b/>
      <sz val="11"/>
      <color rgb="FFF39C12"/>
      <name val="Calibri"/>
    </font>
    <font>
      <b/>
      <sz val="11"/>
      <color rgb="FF3498DB"/>
      <name val="Calibri"/>
    </font>
    <font>
      <i/>
      <sz val="11"/>
      <color rgb="FF95A5A6"/>
      <name val="Calibri"/>
    </font>
  </fonts>
  <fills count="19">
    <fill>
      <patternFill patternType="none"/>
    </fill>
    <fill>
      <patternFill patternType="gray125"/>
    </fill>
    <fill>
      <patternFill patternType="solid">
        <fgColor rgb="FF2C3E50"/>
        <bgColor rgb="FF2C3E50"/>
      </patternFill>
    </fill>
    <fill>
      <patternFill patternType="solid">
        <fgColor rgb="FF27AE60"/>
        <bgColor rgb="FF27AE60"/>
      </patternFill>
    </fill>
    <fill>
      <patternFill patternType="solid">
        <fgColor rgb="FFF39C12"/>
        <bgColor rgb="FFF39C12"/>
      </patternFill>
    </fill>
    <fill>
      <patternFill patternType="solid">
        <fgColor rgb="FFE74C3C"/>
        <bgColor rgb="FFE74C3C"/>
      </patternFill>
    </fill>
    <fill>
      <patternFill patternType="solid">
        <fgColor rgb="FF3498DB"/>
        <bgColor rgb="FF3498DB"/>
      </patternFill>
    </fill>
    <fill>
      <patternFill patternType="solid">
        <fgColor rgb="FFECF0F1"/>
        <bgColor rgb="FFECF0F1"/>
      </patternFill>
    </fill>
    <fill>
      <patternFill patternType="solid">
        <fgColor rgb="FFD6EAF8"/>
        <bgColor rgb="FFD6EAF8"/>
      </patternFill>
    </fill>
    <fill>
      <patternFill patternType="solid">
        <fgColor rgb="FFFFFFFF"/>
        <bgColor rgb="FFFFFFFF"/>
      </patternFill>
    </fill>
    <fill>
      <patternFill patternType="solid">
        <fgColor rgb="FF8E44AD"/>
        <bgColor rgb="FF8E44AD"/>
      </patternFill>
    </fill>
    <fill>
      <patternFill patternType="solid">
        <fgColor rgb="FF2980B9"/>
        <bgColor rgb="FF2980B9"/>
      </patternFill>
    </fill>
    <fill>
      <patternFill patternType="solid">
        <fgColor rgb="FF16A085"/>
        <bgColor rgb="FF16A085"/>
      </patternFill>
    </fill>
    <fill>
      <patternFill patternType="solid">
        <fgColor rgb="FFC0392B"/>
        <bgColor rgb="FFC0392B"/>
      </patternFill>
    </fill>
    <fill>
      <patternFill patternType="solid">
        <fgColor rgb="FFD35400"/>
        <bgColor rgb="FFD35400"/>
      </patternFill>
    </fill>
    <fill>
      <patternFill patternType="solid">
        <fgColor rgb="FF7F8C8D"/>
        <bgColor rgb="FF7F8C8D"/>
      </patternFill>
    </fill>
    <fill>
      <patternFill patternType="solid">
        <fgColor rgb="FFEDF7F6"/>
        <bgColor indexed="64"/>
      </patternFill>
    </fill>
    <fill>
      <patternFill patternType="solid">
        <fgColor rgb="FFF5FAFA"/>
        <bgColor indexed="64"/>
      </patternFill>
    </fill>
    <fill>
      <patternFill patternType="solid">
        <fgColor rgb="FFE8F6F3"/>
        <bgColor indexed="64"/>
      </patternFill>
    </fill>
  </fills>
  <borders count="5">
    <border>
      <left/>
      <right/>
      <top/>
      <bottom/>
      <diagonal/>
    </border>
    <border>
      <left style="thin">
        <color rgb="FFBDC3C7"/>
      </left>
      <right style="thin">
        <color rgb="FFBDC3C7"/>
      </right>
      <top style="medium">
        <color rgb="FF2C3E50"/>
      </top>
      <bottom style="medium">
        <color rgb="FF2C3E50"/>
      </bottom>
      <diagonal/>
    </border>
    <border>
      <left style="thin">
        <color rgb="FFBDC3C7"/>
      </left>
      <right style="thin">
        <color rgb="FFBDC3C7"/>
      </right>
      <top style="thin">
        <color rgb="FFBDC3C7"/>
      </top>
      <bottom style="thin">
        <color rgb="FFBDC3C7"/>
      </bottom>
      <diagonal/>
    </border>
    <border>
      <left/>
      <right style="thin">
        <color rgb="FFBDC3C7"/>
      </right>
      <top style="thin">
        <color rgb="FFBDC3C7"/>
      </top>
      <bottom style="thin">
        <color rgb="FFBDC3C7"/>
      </bottom>
      <diagonal/>
    </border>
    <border>
      <left/>
      <right/>
      <top style="thin">
        <color rgb="FFBDC3C7"/>
      </top>
      <bottom style="thin">
        <color rgb="FFBDC3C7"/>
      </bottom>
      <diagonal/>
    </border>
  </borders>
  <cellStyleXfs count="1">
    <xf numFmtId="0" fontId="0" fillId="0" borderId="0"/>
  </cellStyleXfs>
  <cellXfs count="122">
    <xf numFmtId="0" fontId="0" fillId="0" borderId="0" xfId="0"/>
    <xf numFmtId="0" fontId="6" fillId="2" borderId="1" xfId="0" applyFont="1" applyFill="1" applyBorder="1" applyAlignment="1">
      <alignment horizontal="center" vertical="center" wrapText="1"/>
    </xf>
    <xf numFmtId="0" fontId="7" fillId="7" borderId="2" xfId="0" applyFont="1" applyFill="1" applyBorder="1" applyAlignment="1">
      <alignment horizontal="left" vertical="center" wrapText="1"/>
    </xf>
    <xf numFmtId="0" fontId="7" fillId="7" borderId="2" xfId="0" applyFont="1" applyFill="1" applyBorder="1" applyAlignment="1">
      <alignment horizontal="center" vertical="center" wrapText="1"/>
    </xf>
    <xf numFmtId="164" fontId="7" fillId="7" borderId="2" xfId="0" applyNumberFormat="1" applyFont="1" applyFill="1" applyBorder="1" applyAlignment="1">
      <alignment horizontal="center" vertical="center" wrapText="1"/>
    </xf>
    <xf numFmtId="0" fontId="8" fillId="7" borderId="2" xfId="0" applyFont="1" applyFill="1" applyBorder="1" applyAlignment="1">
      <alignment horizontal="left" vertical="center" wrapText="1"/>
    </xf>
    <xf numFmtId="165" fontId="7" fillId="7" borderId="2" xfId="0" applyNumberFormat="1" applyFont="1" applyFill="1" applyBorder="1" applyAlignment="1">
      <alignment horizontal="center" vertical="center" wrapText="1"/>
    </xf>
    <xf numFmtId="0" fontId="7" fillId="8" borderId="2" xfId="0" applyFont="1" applyFill="1" applyBorder="1" applyAlignment="1">
      <alignment horizontal="left" vertical="center" wrapText="1"/>
    </xf>
    <xf numFmtId="0" fontId="7" fillId="8" borderId="2" xfId="0" applyFont="1" applyFill="1" applyBorder="1" applyAlignment="1">
      <alignment horizontal="center" vertical="center" wrapText="1"/>
    </xf>
    <xf numFmtId="164" fontId="7" fillId="8" borderId="2" xfId="0" applyNumberFormat="1" applyFont="1" applyFill="1" applyBorder="1" applyAlignment="1">
      <alignment horizontal="center" vertical="center" wrapText="1"/>
    </xf>
    <xf numFmtId="0" fontId="8" fillId="9" borderId="2" xfId="0" applyFont="1" applyFill="1" applyBorder="1" applyAlignment="1">
      <alignment horizontal="left" vertical="center" wrapText="1"/>
    </xf>
    <xf numFmtId="164" fontId="7" fillId="9" borderId="2" xfId="0" applyNumberFormat="1" applyFont="1" applyFill="1" applyBorder="1" applyAlignment="1">
      <alignment horizontal="center" vertical="center" wrapText="1"/>
    </xf>
    <xf numFmtId="165" fontId="7" fillId="9" borderId="2" xfId="0" applyNumberFormat="1" applyFont="1" applyFill="1" applyBorder="1" applyAlignment="1">
      <alignment horizontal="center" vertical="center" wrapText="1"/>
    </xf>
    <xf numFmtId="0" fontId="7" fillId="9" borderId="2" xfId="0" applyFont="1" applyFill="1" applyBorder="1" applyAlignment="1">
      <alignment horizontal="left" vertical="center" wrapText="1"/>
    </xf>
    <xf numFmtId="0" fontId="7" fillId="9"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164" fontId="9" fillId="2" borderId="2" xfId="0" applyNumberFormat="1" applyFont="1" applyFill="1" applyBorder="1" applyAlignment="1">
      <alignment horizontal="center" vertical="center" wrapText="1"/>
    </xf>
    <xf numFmtId="165" fontId="9" fillId="2" borderId="2" xfId="0" applyNumberFormat="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2" xfId="0" applyFont="1" applyFill="1" applyBorder="1" applyAlignment="1">
      <alignment horizontal="center" vertical="center" wrapText="1"/>
    </xf>
    <xf numFmtId="0" fontId="0" fillId="7" borderId="2" xfId="0" applyFill="1" applyBorder="1"/>
    <xf numFmtId="0" fontId="0" fillId="9" borderId="2" xfId="0" applyFill="1" applyBorder="1"/>
    <xf numFmtId="0" fontId="8" fillId="7" borderId="2" xfId="0" applyFont="1" applyFill="1" applyBorder="1" applyAlignment="1">
      <alignment horizontal="center" vertical="center"/>
    </xf>
    <xf numFmtId="0" fontId="8" fillId="9" borderId="2" xfId="0" applyFont="1" applyFill="1" applyBorder="1" applyAlignment="1">
      <alignment horizontal="center" vertical="center"/>
    </xf>
    <xf numFmtId="0" fontId="17" fillId="7" borderId="2" xfId="0" applyFont="1" applyFill="1" applyBorder="1" applyAlignment="1">
      <alignment horizontal="center" vertical="center"/>
    </xf>
    <xf numFmtId="0" fontId="18" fillId="7" borderId="2" xfId="0" applyFont="1" applyFill="1" applyBorder="1" applyAlignment="1">
      <alignment horizontal="left" vertical="center" wrapText="1"/>
    </xf>
    <xf numFmtId="0" fontId="17" fillId="9" borderId="2" xfId="0" applyFont="1" applyFill="1" applyBorder="1" applyAlignment="1">
      <alignment horizontal="center" vertical="center"/>
    </xf>
    <xf numFmtId="0" fontId="18" fillId="9" borderId="2" xfId="0" applyFont="1" applyFill="1" applyBorder="1" applyAlignment="1">
      <alignment horizontal="left" vertical="center" wrapText="1"/>
    </xf>
    <xf numFmtId="0" fontId="19" fillId="7" borderId="2" xfId="0" applyFont="1" applyFill="1" applyBorder="1" applyAlignment="1">
      <alignment horizontal="center" vertical="center"/>
    </xf>
    <xf numFmtId="0" fontId="20" fillId="7" borderId="2" xfId="0" applyFont="1" applyFill="1" applyBorder="1" applyAlignment="1">
      <alignment horizontal="center" vertical="center"/>
    </xf>
    <xf numFmtId="0" fontId="19" fillId="9" borderId="2" xfId="0" applyFont="1" applyFill="1" applyBorder="1" applyAlignment="1">
      <alignment horizontal="center" vertical="center"/>
    </xf>
    <xf numFmtId="0" fontId="20" fillId="9" borderId="2" xfId="0" applyFont="1" applyFill="1" applyBorder="1" applyAlignment="1">
      <alignment horizontal="center" vertical="center"/>
    </xf>
    <xf numFmtId="0" fontId="5"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4" fillId="5" borderId="0" xfId="0" applyFont="1" applyFill="1" applyAlignment="1">
      <alignment horizontal="center" vertical="center" wrapText="1"/>
    </xf>
    <xf numFmtId="1" fontId="3" fillId="5"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6" borderId="0" xfId="0" applyFont="1" applyFill="1" applyAlignment="1">
      <alignment horizontal="center" vertical="center" wrapText="1"/>
    </xf>
    <xf numFmtId="164" fontId="3" fillId="6" borderId="0" xfId="0" applyNumberFormat="1" applyFont="1" applyFill="1" applyAlignment="1">
      <alignment horizontal="center" vertical="center" wrapText="1"/>
    </xf>
    <xf numFmtId="0" fontId="4" fillId="2" borderId="0" xfId="0" applyFont="1" applyFill="1" applyAlignment="1">
      <alignment horizontal="center" vertical="center" wrapText="1"/>
    </xf>
    <xf numFmtId="164" fontId="3" fillId="2" borderId="0" xfId="0" applyNumberFormat="1" applyFont="1" applyFill="1" applyAlignment="1">
      <alignment horizontal="center" vertical="center" wrapText="1"/>
    </xf>
    <xf numFmtId="0" fontId="4" fillId="4" borderId="0" xfId="0" applyFont="1" applyFill="1" applyAlignment="1">
      <alignment horizontal="center" vertical="center" wrapText="1"/>
    </xf>
    <xf numFmtId="1" fontId="3" fillId="3" borderId="0" xfId="0" applyNumberFormat="1" applyFont="1" applyFill="1" applyAlignment="1">
      <alignment horizontal="center" vertical="center" wrapText="1"/>
    </xf>
    <xf numFmtId="1" fontId="3" fillId="4"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16" fillId="0" borderId="0" xfId="0" applyFont="1" applyAlignment="1">
      <alignment horizontal="left" vertical="center" wrapText="1"/>
    </xf>
    <xf numFmtId="0" fontId="15" fillId="2" borderId="0" xfId="0" applyFont="1" applyFill="1" applyAlignment="1">
      <alignment horizontal="center" vertical="center" wrapText="1"/>
    </xf>
    <xf numFmtId="0" fontId="5" fillId="6" borderId="0" xfId="0" applyFont="1" applyFill="1" applyAlignment="1">
      <alignment horizontal="left" vertical="center" wrapText="1"/>
    </xf>
    <xf numFmtId="0" fontId="7" fillId="0" borderId="0" xfId="0" applyFont="1" applyAlignment="1">
      <alignment horizontal="left" vertical="center" wrapText="1"/>
    </xf>
    <xf numFmtId="0" fontId="21" fillId="0" borderId="0" xfId="0" applyFont="1" applyAlignment="1">
      <alignment horizontal="center" vertical="center" wrapText="1"/>
    </xf>
    <xf numFmtId="0" fontId="5" fillId="4" borderId="0" xfId="0" applyFont="1" applyFill="1" applyAlignment="1">
      <alignment horizontal="left" vertical="center" wrapText="1"/>
    </xf>
    <xf numFmtId="0" fontId="5" fillId="3" borderId="0" xfId="0" applyFont="1" applyFill="1" applyAlignment="1">
      <alignment horizontal="left" vertical="center" wrapText="1"/>
    </xf>
    <xf numFmtId="0" fontId="1" fillId="2" borderId="0" xfId="0" applyFont="1" applyFill="1" applyAlignment="1" applyProtection="1">
      <alignment horizontal="center" vertical="center" wrapText="1"/>
    </xf>
    <xf numFmtId="0" fontId="0" fillId="0" borderId="0" xfId="0" applyProtection="1"/>
    <xf numFmtId="0" fontId="6" fillId="2" borderId="1" xfId="0" applyFont="1" applyFill="1" applyBorder="1" applyAlignment="1" applyProtection="1">
      <alignment horizontal="center" vertical="center" wrapText="1"/>
    </xf>
    <xf numFmtId="164" fontId="7" fillId="7" borderId="2" xfId="0" applyNumberFormat="1" applyFont="1" applyFill="1" applyBorder="1" applyAlignment="1" applyProtection="1">
      <alignment horizontal="center" vertical="center" wrapText="1"/>
    </xf>
    <xf numFmtId="164" fontId="7" fillId="9" borderId="2" xfId="0" applyNumberFormat="1" applyFont="1" applyFill="1" applyBorder="1" applyAlignment="1" applyProtection="1">
      <alignment horizontal="center" vertical="center" wrapText="1"/>
    </xf>
    <xf numFmtId="0" fontId="9" fillId="2" borderId="2" xfId="0" applyFont="1" applyFill="1" applyBorder="1" applyAlignment="1" applyProtection="1">
      <alignment horizontal="right" vertical="center"/>
    </xf>
    <xf numFmtId="0" fontId="0" fillId="0" borderId="3" xfId="0" applyBorder="1" applyProtection="1"/>
    <xf numFmtId="164" fontId="9" fillId="2" borderId="2" xfId="0" applyNumberFormat="1" applyFont="1" applyFill="1" applyBorder="1" applyAlignment="1" applyProtection="1">
      <alignment horizontal="center" vertical="center" wrapText="1"/>
    </xf>
    <xf numFmtId="0" fontId="7" fillId="2" borderId="2" xfId="0" applyFont="1" applyFill="1" applyBorder="1" applyAlignment="1" applyProtection="1">
      <alignment horizontal="center" vertical="center" wrapText="1"/>
    </xf>
    <xf numFmtId="0" fontId="7" fillId="2" borderId="2" xfId="0" applyFont="1" applyFill="1" applyBorder="1" applyAlignment="1" applyProtection="1">
      <alignment horizontal="left" vertical="center" wrapText="1"/>
    </xf>
    <xf numFmtId="0" fontId="0" fillId="2" borderId="2" xfId="0" applyFill="1" applyBorder="1" applyProtection="1"/>
    <xf numFmtId="0" fontId="7" fillId="7" borderId="2" xfId="0" applyFont="1" applyFill="1" applyBorder="1" applyAlignment="1" applyProtection="1">
      <alignment horizontal="left" vertical="center" wrapText="1"/>
      <protection locked="0"/>
    </xf>
    <xf numFmtId="0" fontId="7" fillId="7" borderId="2" xfId="0" applyFont="1" applyFill="1" applyBorder="1" applyAlignment="1" applyProtection="1">
      <alignment horizontal="center" vertical="center" wrapText="1"/>
      <protection locked="0"/>
    </xf>
    <xf numFmtId="164" fontId="7" fillId="7" borderId="2" xfId="0" applyNumberFormat="1" applyFont="1" applyFill="1" applyBorder="1" applyAlignment="1" applyProtection="1">
      <alignment horizontal="center" vertical="center" wrapText="1"/>
      <protection locked="0"/>
    </xf>
    <xf numFmtId="0" fontId="7" fillId="9" borderId="2" xfId="0" applyFont="1" applyFill="1" applyBorder="1" applyAlignment="1" applyProtection="1">
      <alignment horizontal="left" vertical="center" wrapText="1"/>
      <protection locked="0"/>
    </xf>
    <xf numFmtId="0" fontId="7" fillId="9" borderId="2" xfId="0" applyFont="1" applyFill="1" applyBorder="1" applyAlignment="1" applyProtection="1">
      <alignment horizontal="center" vertical="center" wrapText="1"/>
      <protection locked="0"/>
    </xf>
    <xf numFmtId="164" fontId="7" fillId="9" borderId="2" xfId="0" applyNumberFormat="1" applyFont="1" applyFill="1" applyBorder="1" applyAlignment="1" applyProtection="1">
      <alignment horizontal="center" vertical="center" wrapText="1"/>
      <protection locked="0"/>
    </xf>
    <xf numFmtId="0" fontId="7" fillId="16" borderId="2" xfId="0" applyFont="1" applyFill="1" applyBorder="1" applyAlignment="1" applyProtection="1">
      <alignment horizontal="left" vertical="center" wrapText="1"/>
      <protection locked="0"/>
    </xf>
    <xf numFmtId="0" fontId="7" fillId="16" borderId="2" xfId="0" applyFont="1" applyFill="1" applyBorder="1" applyAlignment="1" applyProtection="1">
      <alignment horizontal="center" vertical="center" wrapText="1"/>
      <protection locked="0"/>
    </xf>
    <xf numFmtId="164" fontId="7" fillId="16" borderId="2" xfId="0" applyNumberFormat="1" applyFont="1" applyFill="1" applyBorder="1" applyAlignment="1" applyProtection="1">
      <alignment horizontal="center" vertical="center" wrapText="1"/>
      <protection locked="0"/>
    </xf>
    <xf numFmtId="0" fontId="0" fillId="0" borderId="0" xfId="0" applyProtection="1"/>
    <xf numFmtId="0" fontId="5" fillId="2" borderId="0" xfId="0" applyFont="1" applyFill="1" applyAlignment="1" applyProtection="1">
      <alignment horizontal="center" vertical="center" wrapText="1"/>
    </xf>
    <xf numFmtId="0" fontId="8" fillId="7" borderId="2" xfId="0" applyFont="1" applyFill="1" applyBorder="1" applyAlignment="1" applyProtection="1">
      <alignment horizontal="right" vertical="center"/>
    </xf>
    <xf numFmtId="0" fontId="0" fillId="0" borderId="4" xfId="0" applyBorder="1" applyProtection="1"/>
    <xf numFmtId="164" fontId="8" fillId="7" borderId="2" xfId="0" applyNumberFormat="1" applyFont="1" applyFill="1" applyBorder="1" applyAlignment="1" applyProtection="1">
      <alignment horizontal="center" vertical="center" wrapText="1"/>
    </xf>
    <xf numFmtId="0" fontId="0" fillId="7" borderId="2" xfId="0" applyFill="1" applyBorder="1" applyProtection="1"/>
    <xf numFmtId="0" fontId="8" fillId="9" borderId="2" xfId="0" applyFont="1" applyFill="1" applyBorder="1" applyAlignment="1" applyProtection="1">
      <alignment horizontal="right" vertical="center"/>
    </xf>
    <xf numFmtId="164" fontId="8" fillId="9" borderId="2" xfId="0" applyNumberFormat="1" applyFont="1" applyFill="1" applyBorder="1" applyAlignment="1" applyProtection="1">
      <alignment horizontal="center" vertical="center" wrapText="1"/>
    </xf>
    <xf numFmtId="0" fontId="0" fillId="9" borderId="2" xfId="0" applyFill="1" applyBorder="1" applyProtection="1"/>
    <xf numFmtId="164" fontId="10" fillId="7" borderId="2" xfId="0" applyNumberFormat="1" applyFont="1" applyFill="1" applyBorder="1" applyAlignment="1" applyProtection="1">
      <alignment horizontal="center" vertical="center" wrapText="1"/>
    </xf>
    <xf numFmtId="164" fontId="10" fillId="9" borderId="2" xfId="0" applyNumberFormat="1" applyFont="1" applyFill="1" applyBorder="1" applyAlignment="1" applyProtection="1">
      <alignment horizontal="center" vertical="center" wrapText="1"/>
    </xf>
    <xf numFmtId="164" fontId="9" fillId="2" borderId="2" xfId="0" applyNumberFormat="1" applyFont="1" applyFill="1" applyBorder="1" applyAlignment="1" applyProtection="1">
      <alignment horizontal="center" vertical="center" wrapText="1"/>
    </xf>
    <xf numFmtId="0" fontId="11" fillId="2" borderId="0" xfId="0" applyFont="1" applyFill="1" applyAlignment="1" applyProtection="1">
      <alignment horizontal="center" vertical="center" wrapText="1"/>
    </xf>
    <xf numFmtId="0" fontId="6" fillId="2" borderId="2" xfId="0" applyFont="1" applyFill="1" applyBorder="1" applyAlignment="1" applyProtection="1">
      <alignment horizontal="center" vertical="center" wrapText="1"/>
    </xf>
    <xf numFmtId="0" fontId="6" fillId="6" borderId="2" xfId="0" applyFont="1" applyFill="1" applyBorder="1" applyAlignment="1" applyProtection="1">
      <alignment horizontal="center" vertical="center" wrapText="1"/>
    </xf>
    <xf numFmtId="0" fontId="9" fillId="2" borderId="2" xfId="0" applyFont="1" applyFill="1" applyBorder="1" applyAlignment="1" applyProtection="1">
      <alignment horizontal="right" vertical="center"/>
    </xf>
    <xf numFmtId="0" fontId="14" fillId="10" borderId="2" xfId="0" applyFont="1" applyFill="1" applyBorder="1" applyAlignment="1" applyProtection="1">
      <alignment horizontal="center" vertical="center" wrapText="1"/>
    </xf>
    <xf numFmtId="0" fontId="0" fillId="10" borderId="2" xfId="0" applyFill="1" applyBorder="1" applyProtection="1"/>
    <xf numFmtId="0" fontId="14" fillId="11" borderId="2" xfId="0" applyFont="1" applyFill="1" applyBorder="1" applyAlignment="1" applyProtection="1">
      <alignment horizontal="center" vertical="center" wrapText="1"/>
    </xf>
    <xf numFmtId="0" fontId="0" fillId="11" borderId="2" xfId="0" applyFill="1" applyBorder="1" applyProtection="1"/>
    <xf numFmtId="0" fontId="14" fillId="12" borderId="2" xfId="0" applyFont="1" applyFill="1" applyBorder="1" applyAlignment="1" applyProtection="1">
      <alignment horizontal="center" vertical="center" wrapText="1"/>
    </xf>
    <xf numFmtId="0" fontId="0" fillId="12" borderId="2" xfId="0" applyFill="1" applyBorder="1" applyProtection="1"/>
    <xf numFmtId="0" fontId="14" fillId="14" borderId="2" xfId="0" applyFont="1" applyFill="1" applyBorder="1" applyAlignment="1" applyProtection="1">
      <alignment horizontal="center" vertical="center" wrapText="1"/>
    </xf>
    <xf numFmtId="0" fontId="0" fillId="14" borderId="2" xfId="0" applyFill="1" applyBorder="1" applyProtection="1"/>
    <xf numFmtId="0" fontId="14" fillId="13" borderId="2" xfId="0" applyFont="1" applyFill="1" applyBorder="1" applyAlignment="1" applyProtection="1">
      <alignment horizontal="center" vertical="center" wrapText="1"/>
    </xf>
    <xf numFmtId="0" fontId="0" fillId="13" borderId="2" xfId="0" applyFill="1" applyBorder="1" applyProtection="1"/>
    <xf numFmtId="0" fontId="14" fillId="2" borderId="2" xfId="0" applyFont="1" applyFill="1" applyBorder="1" applyAlignment="1" applyProtection="1">
      <alignment horizontal="center" vertical="center" wrapText="1"/>
    </xf>
    <xf numFmtId="0" fontId="14" fillId="3" borderId="2" xfId="0" applyFont="1" applyFill="1" applyBorder="1" applyAlignment="1" applyProtection="1">
      <alignment horizontal="center" vertical="center" wrapText="1"/>
    </xf>
    <xf numFmtId="0" fontId="0" fillId="3" borderId="2" xfId="0" applyFill="1" applyBorder="1" applyProtection="1"/>
    <xf numFmtId="0" fontId="14" fillId="15" borderId="2" xfId="0" applyFont="1" applyFill="1" applyBorder="1" applyAlignment="1" applyProtection="1">
      <alignment horizontal="center" vertical="center" wrapText="1"/>
    </xf>
    <xf numFmtId="0" fontId="0" fillId="15" borderId="2" xfId="0" applyFill="1" applyBorder="1" applyProtection="1"/>
    <xf numFmtId="0" fontId="12" fillId="10" borderId="2" xfId="0" applyFont="1" applyFill="1" applyBorder="1" applyAlignment="1" applyProtection="1">
      <alignment horizontal="left" vertical="center" wrapText="1"/>
      <protection locked="0"/>
    </xf>
    <xf numFmtId="0" fontId="12" fillId="11" borderId="2" xfId="0" applyFont="1" applyFill="1" applyBorder="1" applyAlignment="1" applyProtection="1">
      <alignment horizontal="left" vertical="center" wrapText="1"/>
      <protection locked="0"/>
    </xf>
    <xf numFmtId="0" fontId="12" fillId="12" borderId="2" xfId="0" applyFont="1" applyFill="1" applyBorder="1" applyAlignment="1" applyProtection="1">
      <alignment horizontal="left" vertical="center" wrapText="1"/>
      <protection locked="0"/>
    </xf>
    <xf numFmtId="0" fontId="12" fillId="2" borderId="2" xfId="0" applyFont="1" applyFill="1" applyBorder="1" applyAlignment="1" applyProtection="1">
      <alignment horizontal="left" vertical="center" wrapText="1"/>
      <protection locked="0"/>
    </xf>
    <xf numFmtId="0" fontId="12" fillId="13" borderId="2" xfId="0" applyFont="1" applyFill="1" applyBorder="1" applyAlignment="1" applyProtection="1">
      <alignment horizontal="left" vertical="center" wrapText="1"/>
      <protection locked="0"/>
    </xf>
    <xf numFmtId="164" fontId="13" fillId="10" borderId="2" xfId="0" applyNumberFormat="1" applyFont="1" applyFill="1" applyBorder="1" applyAlignment="1" applyProtection="1">
      <alignment horizontal="center" vertical="center" wrapText="1"/>
      <protection locked="0"/>
    </xf>
    <xf numFmtId="164" fontId="13" fillId="11" borderId="2" xfId="0" applyNumberFormat="1" applyFont="1" applyFill="1" applyBorder="1" applyAlignment="1" applyProtection="1">
      <alignment horizontal="center" vertical="center" wrapText="1"/>
      <protection locked="0"/>
    </xf>
    <xf numFmtId="164" fontId="13" fillId="12" borderId="2" xfId="0" applyNumberFormat="1" applyFont="1" applyFill="1" applyBorder="1" applyAlignment="1" applyProtection="1">
      <alignment horizontal="center" vertical="center" wrapText="1"/>
      <protection locked="0"/>
    </xf>
    <xf numFmtId="164" fontId="13" fillId="2" borderId="2" xfId="0" applyNumberFormat="1" applyFont="1" applyFill="1" applyBorder="1" applyAlignment="1" applyProtection="1">
      <alignment horizontal="center" vertical="center" wrapText="1"/>
      <protection locked="0"/>
    </xf>
    <xf numFmtId="164" fontId="13" fillId="13" borderId="2" xfId="0" applyNumberFormat="1" applyFont="1" applyFill="1" applyBorder="1" applyAlignment="1" applyProtection="1">
      <alignment horizontal="center" vertical="center" wrapText="1"/>
      <protection locked="0"/>
    </xf>
    <xf numFmtId="0" fontId="7" fillId="16" borderId="2" xfId="0" applyFont="1" applyFill="1" applyBorder="1" applyProtection="1">
      <protection locked="0"/>
    </xf>
    <xf numFmtId="164" fontId="7" fillId="16" borderId="2" xfId="0" applyNumberFormat="1" applyFont="1" applyFill="1" applyBorder="1" applyProtection="1">
      <protection locked="0"/>
    </xf>
    <xf numFmtId="0" fontId="7" fillId="17" borderId="2" xfId="0" applyFont="1" applyFill="1" applyBorder="1" applyAlignment="1" applyProtection="1">
      <alignment horizontal="left" vertical="center" wrapText="1"/>
      <protection locked="0"/>
    </xf>
    <xf numFmtId="0" fontId="7" fillId="17" borderId="2" xfId="0" applyFont="1" applyFill="1" applyBorder="1" applyAlignment="1" applyProtection="1">
      <alignment horizontal="center" vertical="center" wrapText="1"/>
      <protection locked="0"/>
    </xf>
    <xf numFmtId="164" fontId="7" fillId="17" borderId="2" xfId="0" applyNumberFormat="1" applyFont="1" applyFill="1" applyBorder="1" applyAlignment="1" applyProtection="1">
      <alignment horizontal="center" vertical="center" wrapText="1"/>
      <protection locked="0"/>
    </xf>
    <xf numFmtId="0" fontId="7" fillId="18" borderId="2" xfId="0" applyFont="1" applyFill="1" applyBorder="1" applyAlignment="1" applyProtection="1">
      <alignment horizontal="left" vertical="center" wrapText="1"/>
      <protection locked="0"/>
    </xf>
    <xf numFmtId="0" fontId="7" fillId="18" borderId="2" xfId="0" applyFont="1" applyFill="1" applyBorder="1" applyAlignment="1" applyProtection="1">
      <alignment horizontal="center" vertical="center" wrapText="1"/>
      <protection locked="0"/>
    </xf>
    <xf numFmtId="164" fontId="7" fillId="18" borderId="2" xfId="0" applyNumberFormat="1" applyFont="1" applyFill="1" applyBorder="1" applyAlignment="1" applyProtection="1">
      <alignment horizontal="center" vertical="center" wrapText="1"/>
      <protection locked="0"/>
    </xf>
  </cellXfs>
  <cellStyles count="1">
    <cellStyle name="Standard" xfId="0" builtinId="0"/>
  </cellStyles>
  <dxfs count="37">
    <dxf>
      <font>
        <b/>
        <sz val="11"/>
        <color rgb="FFE74C3C"/>
        <name val="Calibri"/>
      </font>
      <fill>
        <patternFill patternType="solid">
          <fgColor rgb="FFFADBD8"/>
          <bgColor rgb="FFFADBD8"/>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D5F5E3"/>
          <bgColor rgb="FFD5F5E3"/>
        </patternFill>
      </fill>
    </dxf>
    <dxf>
      <fill>
        <patternFill patternType="solid">
          <fgColor rgb="FFFADBD8"/>
          <bgColor rgb="FFFADBD8"/>
        </patternFill>
      </fill>
    </dxf>
    <dxf>
      <fill>
        <patternFill patternType="solid">
          <fgColor rgb="FFFADBD8"/>
          <bgColor rgb="FFFADBD8"/>
        </patternFill>
      </fill>
    </dxf>
    <dxf>
      <fill>
        <patternFill patternType="solid">
          <fgColor rgb="FFD5F5E3"/>
          <bgColor rgb="FFD5F5E3"/>
        </patternFill>
      </fill>
    </dxf>
    <dxf>
      <fill>
        <patternFill patternType="solid">
          <fgColor rgb="FFFADBD8"/>
          <bgColor rgb="FFFADBD8"/>
        </patternFill>
      </fill>
    </dxf>
    <dxf>
      <fill>
        <patternFill patternType="solid">
          <fgColor rgb="FFD5F5E3"/>
          <bgColor rgb="FFD5F5E3"/>
        </patternFill>
      </fill>
    </dxf>
    <dxf>
      <fill>
        <patternFill patternType="solid">
          <fgColor rgb="FFD5F5E3"/>
          <bgColor rgb="FFD5F5E3"/>
        </patternFill>
      </fill>
    </dxf>
    <dxf>
      <fill>
        <patternFill patternType="solid">
          <fgColor rgb="FFFADBD8"/>
          <bgColor rgb="FFFADBD8"/>
        </patternFill>
      </fill>
    </dxf>
    <dxf>
      <fill>
        <patternFill patternType="solid">
          <fgColor rgb="FFD5F5E3"/>
          <bgColor rgb="FFD5F5E3"/>
        </patternFill>
      </fill>
    </dxf>
    <dxf>
      <fill>
        <patternFill patternType="solid">
          <fgColor rgb="FFFADBD8"/>
          <bgColor rgb="FFFADBD8"/>
        </patternFill>
      </fill>
    </dxf>
    <dxf>
      <fill>
        <patternFill patternType="solid">
          <fgColor rgb="FFD5F5E3"/>
          <bgColor rgb="FFD5F5E3"/>
        </patternFill>
      </fill>
    </dxf>
    <dxf>
      <fill>
        <patternFill patternType="solid">
          <fgColor rgb="FFFADBD8"/>
          <bgColor rgb="FFFADBD8"/>
        </patternFill>
      </fill>
    </dxf>
    <dxf>
      <fill>
        <patternFill patternType="solid">
          <fgColor rgb="FFFADBD8"/>
          <bgColor rgb="FFFADBD8"/>
        </patternFill>
      </fill>
    </dxf>
    <dxf>
      <fill>
        <patternFill patternType="solid">
          <fgColor rgb="FFD5F5E3"/>
          <bgColor rgb="FFD5F5E3"/>
        </patternFill>
      </fill>
    </dxf>
    <dxf>
      <fill>
        <patternFill patternType="solid">
          <fgColor rgb="FFD5F5E3"/>
          <bgColor rgb="FFD5F5E3"/>
        </patternFill>
      </fill>
    </dxf>
    <dxf>
      <fill>
        <patternFill patternType="solid">
          <fgColor rgb="FFFADBD8"/>
          <bgColor rgb="FFFADBD8"/>
        </patternFill>
      </fill>
    </dxf>
    <dxf>
      <fill>
        <patternFill patternType="solid">
          <fgColor rgb="FFD5F5E3"/>
          <bgColor rgb="FFD5F5E3"/>
        </patternFill>
      </fill>
    </dxf>
    <dxf>
      <fill>
        <patternFill patternType="solid">
          <fgColor rgb="FFFADBD8"/>
          <bgColor rgb="FFFADBD8"/>
        </patternFill>
      </fill>
    </dxf>
    <dxf>
      <fill>
        <patternFill patternType="solid">
          <fgColor rgb="FFD5F5E3"/>
          <bgColor rgb="FFD5F5E3"/>
        </patternFill>
      </fill>
    </dxf>
    <dxf>
      <fill>
        <patternFill patternType="solid">
          <fgColor rgb="FFFADBD8"/>
          <bgColor rgb="FFFADBD8"/>
        </patternFill>
      </fill>
    </dxf>
    <dxf>
      <fill>
        <patternFill patternType="solid">
          <fgColor rgb="FFD5F5E3"/>
          <bgColor rgb="FFD5F5E3"/>
        </patternFill>
      </fill>
    </dxf>
    <dxf>
      <fill>
        <patternFill patternType="solid">
          <fgColor rgb="FFFADBD8"/>
          <bgColor rgb="FFFADBD8"/>
        </patternFill>
      </fill>
    </dxf>
    <dxf>
      <fill>
        <patternFill patternType="solid">
          <fgColor rgb="FFFADBD8"/>
          <bgColor rgb="FFFADBD8"/>
        </patternFill>
      </fill>
    </dxf>
    <dxf>
      <fill>
        <patternFill patternType="solid">
          <fgColor rgb="FFD5F5E3"/>
          <bgColor rgb="FFD5F5E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03BED3B-4EA9-4660-B8E3-20A6AE37FA13}">
  <we:reference id="wa200009404" version="1.0.0.5" store="de-DE"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498DB"/>
  </sheetPr>
  <dimension ref="B1:M26"/>
  <sheetViews>
    <sheetView workbookViewId="0">
      <pane xSplit="1" ySplit="4" topLeftCell="B5" activePane="bottomRight" state="frozen"/>
      <selection pane="topRight"/>
      <selection pane="bottomLeft"/>
      <selection pane="bottomRight"/>
    </sheetView>
  </sheetViews>
  <sheetFormatPr baseColWidth="10" defaultColWidth="9.140625" defaultRowHeight="15" x14ac:dyDescent="0.25"/>
  <cols>
    <col min="1" max="1" width="4.7109375" customWidth="1"/>
    <col min="2" max="2" width="24.7109375" customWidth="1"/>
    <col min="3" max="3" width="16.140625" customWidth="1"/>
    <col min="4" max="5" width="13.28515625" customWidth="1"/>
    <col min="6" max="6" width="21" customWidth="1"/>
    <col min="7" max="8" width="19" customWidth="1"/>
    <col min="9" max="9" width="22.85546875" customWidth="1"/>
    <col min="10" max="10" width="19" customWidth="1"/>
    <col min="11" max="11" width="15.28515625" customWidth="1"/>
    <col min="12" max="12" width="19" customWidth="1"/>
    <col min="13" max="13" width="4.7109375" customWidth="1"/>
    <col min="14" max="14" width="16" customWidth="1"/>
  </cols>
  <sheetData>
    <row r="1" spans="2:13" ht="9.9499999999999993" customHeight="1" x14ac:dyDescent="0.25"/>
    <row r="2" spans="2:13" ht="35.1" customHeight="1" x14ac:dyDescent="0.25">
      <c r="B2" s="34" t="s">
        <v>0</v>
      </c>
      <c r="C2" s="33"/>
      <c r="D2" s="33"/>
      <c r="E2" s="33"/>
      <c r="F2" s="33"/>
      <c r="G2" s="33"/>
      <c r="H2" s="33"/>
      <c r="I2" s="33"/>
      <c r="J2" s="33"/>
      <c r="K2" s="33"/>
      <c r="L2" s="33"/>
      <c r="M2" s="33"/>
    </row>
    <row r="3" spans="2:13" ht="21.95" customHeight="1" x14ac:dyDescent="0.25">
      <c r="B3" s="37" t="s">
        <v>1</v>
      </c>
      <c r="C3" s="33"/>
      <c r="D3" s="33"/>
      <c r="E3" s="33"/>
      <c r="F3" s="33"/>
      <c r="G3" s="33"/>
      <c r="H3" s="33"/>
      <c r="I3" s="33"/>
      <c r="J3" s="33"/>
      <c r="K3" s="33"/>
      <c r="L3" s="33"/>
      <c r="M3" s="33"/>
    </row>
    <row r="4" spans="2:13" ht="9.9499999999999993" customHeight="1" x14ac:dyDescent="0.25"/>
    <row r="5" spans="2:13" ht="30" customHeight="1" x14ac:dyDescent="0.25">
      <c r="B5" s="41">
        <f>'📋 Bill List'!C42</f>
        <v>3054.9599999999991</v>
      </c>
      <c r="C5" s="33"/>
      <c r="D5" s="33"/>
      <c r="E5" s="33"/>
      <c r="F5" s="43">
        <f>COUNTIF('✅ Monthly Checklist'!D5:D24,"Yes")</f>
        <v>8</v>
      </c>
      <c r="G5" s="33"/>
      <c r="H5" s="33"/>
      <c r="I5" s="33"/>
      <c r="J5" s="44">
        <f>COUNTIF('✅ Monthly Checklist'!D5:D24,"No")+COUNTIF('✅ Monthly Checklist'!D5:D24,"")-COUNTBLANK('✅ Monthly Checklist'!B5:B24)+COUNTIF('✅ Monthly Checklist'!D5:D24,"No")*0</f>
        <v>7</v>
      </c>
      <c r="K5" s="33"/>
      <c r="L5" s="33"/>
      <c r="M5" s="33"/>
    </row>
    <row r="6" spans="2:13" ht="30" customHeight="1" x14ac:dyDescent="0.25">
      <c r="B6" s="40" t="s">
        <v>2</v>
      </c>
      <c r="C6" s="33"/>
      <c r="D6" s="33"/>
      <c r="E6" s="33"/>
      <c r="F6" s="45" t="s">
        <v>3</v>
      </c>
      <c r="G6" s="33"/>
      <c r="H6" s="33"/>
      <c r="I6" s="33"/>
      <c r="J6" s="42" t="s">
        <v>4</v>
      </c>
      <c r="K6" s="33"/>
      <c r="L6" s="33"/>
      <c r="M6" s="33"/>
    </row>
    <row r="7" spans="2:13" ht="5.0999999999999996" customHeight="1" x14ac:dyDescent="0.25"/>
    <row r="8" spans="2:13" ht="30" customHeight="1" x14ac:dyDescent="0.25">
      <c r="B8" s="36">
        <f>COUNTIFS('✅ Monthly Checklist'!D5:D24,"&lt;&gt;Yes",'✅ Monthly Checklist'!B5:B24,"&lt;&gt;")</f>
        <v>7</v>
      </c>
      <c r="C8" s="33"/>
      <c r="D8" s="33"/>
      <c r="E8" s="33"/>
      <c r="F8" s="39">
        <f>'📱 Subscription Tracker'!C22</f>
        <v>121.91999999999999</v>
      </c>
      <c r="G8" s="33"/>
      <c r="H8" s="33"/>
      <c r="I8" s="33"/>
      <c r="J8" s="41">
        <f>'📋 Bill List'!C43</f>
        <v>36659.51999999999</v>
      </c>
      <c r="K8" s="33"/>
      <c r="L8" s="33"/>
      <c r="M8" s="33"/>
    </row>
    <row r="9" spans="2:13" ht="30" customHeight="1" x14ac:dyDescent="0.25">
      <c r="B9" s="35" t="s">
        <v>5</v>
      </c>
      <c r="C9" s="33"/>
      <c r="D9" s="33"/>
      <c r="E9" s="33"/>
      <c r="F9" s="38" t="s">
        <v>6</v>
      </c>
      <c r="G9" s="33"/>
      <c r="H9" s="33"/>
      <c r="I9" s="33"/>
      <c r="J9" s="40" t="s">
        <v>7</v>
      </c>
      <c r="K9" s="33"/>
      <c r="L9" s="33"/>
      <c r="M9" s="33"/>
    </row>
    <row r="10" spans="2:13" ht="5.0999999999999996" customHeight="1" x14ac:dyDescent="0.25"/>
    <row r="11" spans="2:13" ht="5.0999999999999996" customHeight="1" x14ac:dyDescent="0.25"/>
    <row r="12" spans="2:13" ht="27.95" customHeight="1" x14ac:dyDescent="0.25">
      <c r="B12" s="32" t="s">
        <v>8</v>
      </c>
      <c r="C12" s="33"/>
      <c r="D12" s="33"/>
      <c r="E12" s="33"/>
      <c r="F12" s="33"/>
      <c r="G12" s="33"/>
      <c r="H12" s="33"/>
      <c r="I12" s="32" t="s">
        <v>9</v>
      </c>
      <c r="J12" s="33"/>
      <c r="K12" s="33"/>
      <c r="L12" s="33"/>
      <c r="M12" s="33"/>
    </row>
    <row r="13" spans="2:13" ht="24" customHeight="1" x14ac:dyDescent="0.25">
      <c r="B13" s="1" t="s">
        <v>10</v>
      </c>
      <c r="C13" s="1" t="s">
        <v>11</v>
      </c>
      <c r="D13" s="1" t="s">
        <v>12</v>
      </c>
      <c r="E13" s="1" t="s">
        <v>13</v>
      </c>
      <c r="F13" s="1" t="s">
        <v>14</v>
      </c>
      <c r="G13" s="1" t="s">
        <v>15</v>
      </c>
      <c r="H13" s="1" t="s">
        <v>16</v>
      </c>
      <c r="I13" s="1" t="s">
        <v>17</v>
      </c>
      <c r="J13" s="1" t="s">
        <v>18</v>
      </c>
      <c r="K13" s="1" t="s">
        <v>19</v>
      </c>
      <c r="L13" s="1" t="s">
        <v>20</v>
      </c>
    </row>
    <row r="14" spans="2:13" ht="21.95" customHeight="1" x14ac:dyDescent="0.25">
      <c r="B14" s="2" t="s">
        <v>21</v>
      </c>
      <c r="C14" s="3">
        <f>COUNTA('✅ Monthly Checklist'!B5:B24)</f>
        <v>15</v>
      </c>
      <c r="D14" s="3">
        <f>COUNTIF('✅ Monthly Checklist'!D5:D24,"Yes")</f>
        <v>8</v>
      </c>
      <c r="E14" s="3">
        <f t="shared" ref="E14:E25" si="0">C14-D14</f>
        <v>7</v>
      </c>
      <c r="F14" s="4">
        <f>SUM('✅ Monthly Checklist'!C5:C24)</f>
        <v>3054.9599999999991</v>
      </c>
      <c r="G14" s="4" cm="1">
        <f t="array" ref="G14">IFERROR(SUMPRODUCT(('✅ Monthly Checklist'!D5:D24="Yes")*('✅ Monthly Checklist'!C5:C24*1)),0)</f>
        <v>2320</v>
      </c>
      <c r="H14" s="4">
        <f t="shared" ref="H14:H25" si="1">F14-G14</f>
        <v>734.95999999999913</v>
      </c>
      <c r="I14" s="5" t="s">
        <v>22</v>
      </c>
      <c r="J14" s="4">
        <f>SUMIF('📋 Bill List'!B3:B42,I14,'📋 Bill List'!C3:C42)</f>
        <v>1500</v>
      </c>
      <c r="K14" s="6">
        <f>IF(J22&gt;0,J14/J22,0)</f>
        <v>0.49100479220677196</v>
      </c>
      <c r="L14" s="4">
        <f t="shared" ref="L14:L21" si="2">J14*12</f>
        <v>18000</v>
      </c>
    </row>
    <row r="15" spans="2:13" ht="21.95" customHeight="1" x14ac:dyDescent="0.25">
      <c r="B15" s="7" t="s">
        <v>23</v>
      </c>
      <c r="C15" s="8">
        <f>COUNTA('✅ Monthly Checklist'!B28:B47)</f>
        <v>1</v>
      </c>
      <c r="D15" s="8">
        <f>COUNTIF('✅ Monthly Checklist'!D28:D47,"Yes")</f>
        <v>0</v>
      </c>
      <c r="E15" s="8">
        <f t="shared" si="0"/>
        <v>1</v>
      </c>
      <c r="F15" s="9">
        <f>SUM('✅ Monthly Checklist'!C28:C47)</f>
        <v>0</v>
      </c>
      <c r="G15" s="9" cm="1">
        <f t="array" ref="G15">IFERROR(SUMPRODUCT(('✅ Monthly Checklist'!D28:D47="Yes")*('✅ Monthly Checklist'!C28:C47*1)),0)</f>
        <v>0</v>
      </c>
      <c r="H15" s="9">
        <f t="shared" si="1"/>
        <v>0</v>
      </c>
      <c r="I15" s="10" t="s">
        <v>24</v>
      </c>
      <c r="J15" s="11">
        <f>SUMIF('📋 Bill List'!B3:B42,I15,'📋 Bill List'!C3:C42)</f>
        <v>420</v>
      </c>
      <c r="K15" s="12">
        <f>IF(J22&gt;0,J15/J22,0)</f>
        <v>0.13748134181789615</v>
      </c>
      <c r="L15" s="11">
        <f t="shared" si="2"/>
        <v>5040</v>
      </c>
    </row>
    <row r="16" spans="2:13" ht="21.95" customHeight="1" x14ac:dyDescent="0.25">
      <c r="B16" s="2" t="s">
        <v>25</v>
      </c>
      <c r="C16" s="3">
        <f>COUNTA('✅ Monthly Checklist'!B51:B70)</f>
        <v>1</v>
      </c>
      <c r="D16" s="3">
        <f>COUNTIF('✅ Monthly Checklist'!D51:D70,"Yes")</f>
        <v>0</v>
      </c>
      <c r="E16" s="3">
        <f t="shared" si="0"/>
        <v>1</v>
      </c>
      <c r="F16" s="4">
        <f>SUM('✅ Monthly Checklist'!C51:C70)</f>
        <v>0</v>
      </c>
      <c r="G16" s="4" cm="1">
        <f t="array" ref="G16">IFERROR(SUMPRODUCT(('✅ Monthly Checklist'!D51:D70="Yes")*('✅ Monthly Checklist'!C51:C70*1)),0)</f>
        <v>0</v>
      </c>
      <c r="H16" s="4">
        <f t="shared" si="1"/>
        <v>0</v>
      </c>
      <c r="I16" s="5" t="s">
        <v>26</v>
      </c>
      <c r="J16" s="4">
        <f>SUMIF('📋 Bill List'!B3:B42,I16,'📋 Bill List'!C3:C42)</f>
        <v>425</v>
      </c>
      <c r="K16" s="6">
        <f>IF(J22&gt;0,J16/J22,0)</f>
        <v>0.13911802445858537</v>
      </c>
      <c r="L16" s="4">
        <f t="shared" si="2"/>
        <v>5100</v>
      </c>
    </row>
    <row r="17" spans="2:12" ht="21.95" customHeight="1" x14ac:dyDescent="0.25">
      <c r="B17" s="13" t="s">
        <v>27</v>
      </c>
      <c r="C17" s="14">
        <f>COUNTA('✅ Monthly Checklist'!B74:B93)</f>
        <v>1</v>
      </c>
      <c r="D17" s="14">
        <f>COUNTIF('✅ Monthly Checklist'!D74:D93,"Yes")</f>
        <v>0</v>
      </c>
      <c r="E17" s="14">
        <f t="shared" si="0"/>
        <v>1</v>
      </c>
      <c r="F17" s="11">
        <f>SUM('✅ Monthly Checklist'!C74:C93)</f>
        <v>0</v>
      </c>
      <c r="G17" s="11" cm="1">
        <f t="array" ref="G17">IFERROR(SUMPRODUCT(('✅ Monthly Checklist'!D74:D93="Yes")*('✅ Monthly Checklist'!C74:C93*1)),0)</f>
        <v>0</v>
      </c>
      <c r="H17" s="11">
        <f t="shared" si="1"/>
        <v>0</v>
      </c>
      <c r="I17" s="10" t="s">
        <v>28</v>
      </c>
      <c r="J17" s="11">
        <f>SUMIF('📋 Bill List'!B3:B42,I17,'📋 Bill List'!C3:C42)</f>
        <v>0</v>
      </c>
      <c r="K17" s="12">
        <f>IF(J22&gt;0,J17/J22,0)</f>
        <v>0</v>
      </c>
      <c r="L17" s="11">
        <f t="shared" si="2"/>
        <v>0</v>
      </c>
    </row>
    <row r="18" spans="2:12" ht="21.95" customHeight="1" x14ac:dyDescent="0.25">
      <c r="B18" s="2" t="s">
        <v>29</v>
      </c>
      <c r="C18" s="3">
        <f>COUNTA('✅ Monthly Checklist'!B97:B116)</f>
        <v>1</v>
      </c>
      <c r="D18" s="3">
        <f>COUNTIF('✅ Monthly Checklist'!D97:D116,"Yes")</f>
        <v>0</v>
      </c>
      <c r="E18" s="3">
        <f t="shared" si="0"/>
        <v>1</v>
      </c>
      <c r="F18" s="4">
        <f>SUM('✅ Monthly Checklist'!C97:C116)</f>
        <v>0</v>
      </c>
      <c r="G18" s="4" cm="1">
        <f t="array" ref="G18">IFERROR(SUMPRODUCT(('✅ Monthly Checklist'!D97:D116="Yes")*('✅ Monthly Checklist'!C97:C116*1)),0)</f>
        <v>0</v>
      </c>
      <c r="H18" s="4">
        <f t="shared" si="1"/>
        <v>0</v>
      </c>
      <c r="I18" s="5" t="s">
        <v>30</v>
      </c>
      <c r="J18" s="4">
        <f>SUMIF('📋 Bill List'!B3:B42,I18,'📋 Bill List'!C3:C42)</f>
        <v>79.959999999999994</v>
      </c>
      <c r="K18" s="6">
        <f>IF(J22&gt;0,J18/J22,0)</f>
        <v>2.617382878990232E-2</v>
      </c>
      <c r="L18" s="4">
        <f t="shared" si="2"/>
        <v>959.52</v>
      </c>
    </row>
    <row r="19" spans="2:12" ht="21.95" customHeight="1" x14ac:dyDescent="0.25">
      <c r="B19" s="13" t="s">
        <v>31</v>
      </c>
      <c r="C19" s="14">
        <f>COUNTA('✅ Monthly Checklist'!B120:B139)</f>
        <v>1</v>
      </c>
      <c r="D19" s="14">
        <f>COUNTIF('✅ Monthly Checklist'!D120:D139,"Yes")</f>
        <v>0</v>
      </c>
      <c r="E19" s="14">
        <f t="shared" si="0"/>
        <v>1</v>
      </c>
      <c r="F19" s="11">
        <f>SUM('✅ Monthly Checklist'!C120:C139)</f>
        <v>0</v>
      </c>
      <c r="G19" s="11" cm="1">
        <f t="array" ref="G19">IFERROR(SUMPRODUCT(('✅ Monthly Checklist'!D120:D139="Yes")*('✅ Monthly Checklist'!C120:C139*1)),0)</f>
        <v>0</v>
      </c>
      <c r="H19" s="11">
        <f t="shared" si="1"/>
        <v>0</v>
      </c>
      <c r="I19" s="10" t="s">
        <v>32</v>
      </c>
      <c r="J19" s="11">
        <f>SUMIF('📋 Bill List'!B3:B42,I19,'📋 Bill List'!C3:C42)</f>
        <v>630</v>
      </c>
      <c r="K19" s="12">
        <f>IF(J22&gt;0,J19/J22,0)</f>
        <v>0.20622201272684421</v>
      </c>
      <c r="L19" s="11">
        <f t="shared" si="2"/>
        <v>7560</v>
      </c>
    </row>
    <row r="20" spans="2:12" ht="21.95" customHeight="1" x14ac:dyDescent="0.25">
      <c r="B20" s="2" t="s">
        <v>33</v>
      </c>
      <c r="C20" s="3">
        <f>COUNTA('✅ Monthly Checklist'!B143:B162)</f>
        <v>1</v>
      </c>
      <c r="D20" s="3">
        <f>COUNTIF('✅ Monthly Checklist'!D143:D162,"Yes")</f>
        <v>0</v>
      </c>
      <c r="E20" s="3">
        <f t="shared" si="0"/>
        <v>1</v>
      </c>
      <c r="F20" s="4">
        <f>SUM('✅ Monthly Checklist'!C143:C162)</f>
        <v>0</v>
      </c>
      <c r="G20" s="4" cm="1">
        <f t="array" ref="G20">IFERROR(SUMPRODUCT(('✅ Monthly Checklist'!D143:D162="Yes")*('✅ Monthly Checklist'!C143:C162*1)),0)</f>
        <v>0</v>
      </c>
      <c r="H20" s="4">
        <f t="shared" si="1"/>
        <v>0</v>
      </c>
      <c r="I20" s="5" t="s">
        <v>34</v>
      </c>
      <c r="J20" s="4">
        <f>SUMIF('📋 Bill List'!B3:B42,I20,'📋 Bill List'!C3:C42)</f>
        <v>0</v>
      </c>
      <c r="K20" s="6">
        <f>IF(J22&gt;0,J20/J22,0)</f>
        <v>0</v>
      </c>
      <c r="L20" s="4">
        <f t="shared" si="2"/>
        <v>0</v>
      </c>
    </row>
    <row r="21" spans="2:12" ht="21.95" customHeight="1" x14ac:dyDescent="0.25">
      <c r="B21" s="13" t="s">
        <v>35</v>
      </c>
      <c r="C21" s="14">
        <f>COUNTA('✅ Monthly Checklist'!B166:B185)</f>
        <v>1</v>
      </c>
      <c r="D21" s="14">
        <f>COUNTIF('✅ Monthly Checklist'!D166:D185,"Yes")</f>
        <v>0</v>
      </c>
      <c r="E21" s="14">
        <f t="shared" si="0"/>
        <v>1</v>
      </c>
      <c r="F21" s="11">
        <f>SUM('✅ Monthly Checklist'!C166:C185)</f>
        <v>0</v>
      </c>
      <c r="G21" s="11" cm="1">
        <f t="array" ref="G21">IFERROR(SUMPRODUCT(('✅ Monthly Checklist'!D166:D185="Yes")*('✅ Monthly Checklist'!C166:C185*1)),0)</f>
        <v>0</v>
      </c>
      <c r="H21" s="11">
        <f t="shared" si="1"/>
        <v>0</v>
      </c>
      <c r="I21" s="10" t="s">
        <v>36</v>
      </c>
      <c r="J21" s="11">
        <f>SUMIF('📋 Bill List'!B3:B42,I21,'📋 Bill List'!C3:C42)</f>
        <v>0</v>
      </c>
      <c r="K21" s="12">
        <f>IF(J22&gt;0,J21/J22,0)</f>
        <v>0</v>
      </c>
      <c r="L21" s="11">
        <f t="shared" si="2"/>
        <v>0</v>
      </c>
    </row>
    <row r="22" spans="2:12" ht="21.95" customHeight="1" x14ac:dyDescent="0.25">
      <c r="B22" s="2" t="s">
        <v>37</v>
      </c>
      <c r="C22" s="3">
        <f>COUNTA('✅ Monthly Checklist'!B189:B208)</f>
        <v>1</v>
      </c>
      <c r="D22" s="3">
        <f>COUNTIF('✅ Monthly Checklist'!D189:D208,"Yes")</f>
        <v>0</v>
      </c>
      <c r="E22" s="3">
        <f t="shared" si="0"/>
        <v>1</v>
      </c>
      <c r="F22" s="4">
        <f>SUM('✅ Monthly Checklist'!C189:C208)</f>
        <v>0</v>
      </c>
      <c r="G22" s="4" cm="1">
        <f t="array" ref="G22">IFERROR(SUMPRODUCT(('✅ Monthly Checklist'!D189:D208="Yes")*('✅ Monthly Checklist'!C189:C208*1)),0)</f>
        <v>0</v>
      </c>
      <c r="H22" s="4">
        <f t="shared" si="1"/>
        <v>0</v>
      </c>
      <c r="I22" s="15" t="s">
        <v>38</v>
      </c>
      <c r="J22" s="16">
        <f>SUM(J14:J21)</f>
        <v>3054.96</v>
      </c>
      <c r="K22" s="17">
        <v>1</v>
      </c>
      <c r="L22" s="16">
        <f>SUM(L14:L21)</f>
        <v>36659.520000000004</v>
      </c>
    </row>
    <row r="23" spans="2:12" ht="21.95" customHeight="1" x14ac:dyDescent="0.25">
      <c r="B23" s="13" t="s">
        <v>39</v>
      </c>
      <c r="C23" s="14">
        <f>COUNTA('✅ Monthly Checklist'!B212:B231)</f>
        <v>1</v>
      </c>
      <c r="D23" s="14">
        <f>COUNTIF('✅ Monthly Checklist'!D212:D231,"Yes")</f>
        <v>0</v>
      </c>
      <c r="E23" s="14">
        <f t="shared" si="0"/>
        <v>1</v>
      </c>
      <c r="F23" s="11">
        <f>SUM('✅ Monthly Checklist'!C212:C231)</f>
        <v>0</v>
      </c>
      <c r="G23" s="11" cm="1">
        <f t="array" ref="G23">IFERROR(SUMPRODUCT(('✅ Monthly Checklist'!D212:D231="Yes")*('✅ Monthly Checklist'!C212:C231*1)),0)</f>
        <v>0</v>
      </c>
      <c r="H23" s="11">
        <f t="shared" si="1"/>
        <v>0</v>
      </c>
    </row>
    <row r="24" spans="2:12" ht="21.95" customHeight="1" x14ac:dyDescent="0.25">
      <c r="B24" s="2" t="s">
        <v>40</v>
      </c>
      <c r="C24" s="3">
        <f>COUNTA('✅ Monthly Checklist'!B235:B254)</f>
        <v>1</v>
      </c>
      <c r="D24" s="3">
        <f>COUNTIF('✅ Monthly Checklist'!D235:D254,"Yes")</f>
        <v>0</v>
      </c>
      <c r="E24" s="3">
        <f t="shared" si="0"/>
        <v>1</v>
      </c>
      <c r="F24" s="4">
        <f>SUM('✅ Monthly Checklist'!C235:C254)</f>
        <v>0</v>
      </c>
      <c r="G24" s="4" cm="1">
        <f t="array" ref="G24">IFERROR(SUMPRODUCT(('✅ Monthly Checklist'!D235:D254="Yes")*('✅ Monthly Checklist'!C235:C254*1)),0)</f>
        <v>0</v>
      </c>
      <c r="H24" s="4">
        <f t="shared" si="1"/>
        <v>0</v>
      </c>
    </row>
    <row r="25" spans="2:12" ht="21.95" customHeight="1" x14ac:dyDescent="0.25">
      <c r="B25" s="13" t="s">
        <v>41</v>
      </c>
      <c r="C25" s="14">
        <f>COUNTA('✅ Monthly Checklist'!B258:B277)</f>
        <v>1</v>
      </c>
      <c r="D25" s="14">
        <f>COUNTIF('✅ Monthly Checklist'!D258:D277,"Yes")</f>
        <v>0</v>
      </c>
      <c r="E25" s="14">
        <f t="shared" si="0"/>
        <v>1</v>
      </c>
      <c r="F25" s="11">
        <f>SUM('✅ Monthly Checklist'!C258:C277)</f>
        <v>0</v>
      </c>
      <c r="G25" s="11" cm="1">
        <f t="array" ref="G25">IFERROR(SUMPRODUCT(('✅ Monthly Checklist'!D258:D277="Yes")*('✅ Monthly Checklist'!C258:C277*1)),0)</f>
        <v>0</v>
      </c>
      <c r="H25" s="11">
        <f t="shared" si="1"/>
        <v>0</v>
      </c>
    </row>
    <row r="26" spans="2:12" ht="26.1" customHeight="1" x14ac:dyDescent="0.25">
      <c r="B26" s="18" t="s">
        <v>38</v>
      </c>
      <c r="C26" s="19">
        <f t="shared" ref="C26:H26" si="3">SUM(C14:C25)</f>
        <v>26</v>
      </c>
      <c r="D26" s="19">
        <f t="shared" si="3"/>
        <v>8</v>
      </c>
      <c r="E26" s="19">
        <f t="shared" si="3"/>
        <v>18</v>
      </c>
      <c r="F26" s="16">
        <f t="shared" si="3"/>
        <v>3054.9599999999991</v>
      </c>
      <c r="G26" s="16">
        <f t="shared" si="3"/>
        <v>2320</v>
      </c>
      <c r="H26" s="16">
        <f t="shared" si="3"/>
        <v>734.95999999999913</v>
      </c>
    </row>
  </sheetData>
  <sheetProtection sheet="1" objects="1" scenarios="1"/>
  <mergeCells count="16">
    <mergeCell ref="I12:M12"/>
    <mergeCell ref="B2:M2"/>
    <mergeCell ref="B9:E9"/>
    <mergeCell ref="B8:E8"/>
    <mergeCell ref="B3:M3"/>
    <mergeCell ref="F9:I9"/>
    <mergeCell ref="F8:I8"/>
    <mergeCell ref="J9:M9"/>
    <mergeCell ref="J8:M8"/>
    <mergeCell ref="B6:E6"/>
    <mergeCell ref="B12:H12"/>
    <mergeCell ref="J6:M6"/>
    <mergeCell ref="B5:E5"/>
    <mergeCell ref="F5:I5"/>
    <mergeCell ref="J5:M5"/>
    <mergeCell ref="F6:I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C3E50"/>
  </sheetPr>
  <dimension ref="A1:J43"/>
  <sheetViews>
    <sheetView workbookViewId="0">
      <pane ySplit="2" topLeftCell="A13" activePane="bottomLeft" state="frozen"/>
      <selection pane="bottomLeft" activeCell="D17" sqref="D17"/>
    </sheetView>
  </sheetViews>
  <sheetFormatPr baseColWidth="10" defaultColWidth="9.140625" defaultRowHeight="15" x14ac:dyDescent="0.25"/>
  <cols>
    <col min="1" max="1" width="28.5703125" customWidth="1"/>
    <col min="2" max="2" width="21" customWidth="1"/>
    <col min="3" max="3" width="17.140625" customWidth="1"/>
    <col min="4" max="4" width="15.28515625" customWidth="1"/>
    <col min="5" max="5" width="17.140625" customWidth="1"/>
    <col min="6" max="6" width="22.85546875" customWidth="1"/>
    <col min="7" max="7" width="15.28515625" customWidth="1"/>
    <col min="8" max="8" width="21" customWidth="1"/>
    <col min="9" max="9" width="28.5703125" customWidth="1"/>
    <col min="10" max="10" width="32.42578125" customWidth="1"/>
  </cols>
  <sheetData>
    <row r="1" spans="1:10" ht="35.1" customHeight="1" x14ac:dyDescent="0.25">
      <c r="A1" s="53" t="s">
        <v>42</v>
      </c>
      <c r="B1" s="54"/>
      <c r="C1" s="54"/>
      <c r="D1" s="54"/>
      <c r="E1" s="54"/>
      <c r="F1" s="54"/>
      <c r="G1" s="54"/>
      <c r="H1" s="54"/>
      <c r="I1" s="54"/>
      <c r="J1" s="54"/>
    </row>
    <row r="2" spans="1:10" ht="26.1" customHeight="1" x14ac:dyDescent="0.25">
      <c r="A2" s="55" t="s">
        <v>43</v>
      </c>
      <c r="B2" s="55" t="s">
        <v>17</v>
      </c>
      <c r="C2" s="55" t="s">
        <v>44</v>
      </c>
      <c r="D2" s="55" t="s">
        <v>45</v>
      </c>
      <c r="E2" s="55" t="s">
        <v>46</v>
      </c>
      <c r="F2" s="55" t="s">
        <v>47</v>
      </c>
      <c r="G2" s="55" t="s">
        <v>48</v>
      </c>
      <c r="H2" s="55" t="s">
        <v>49</v>
      </c>
      <c r="I2" s="55" t="s">
        <v>50</v>
      </c>
      <c r="J2" s="55" t="s">
        <v>51</v>
      </c>
    </row>
    <row r="3" spans="1:10" ht="21.95" customHeight="1" x14ac:dyDescent="0.25">
      <c r="A3" s="119" t="s">
        <v>52</v>
      </c>
      <c r="B3" s="120" t="s">
        <v>22</v>
      </c>
      <c r="C3" s="121">
        <v>1500</v>
      </c>
      <c r="D3" s="120" t="s">
        <v>53</v>
      </c>
      <c r="E3" s="120" t="s">
        <v>54</v>
      </c>
      <c r="F3" s="120" t="s">
        <v>55</v>
      </c>
      <c r="G3" s="120" t="s">
        <v>56</v>
      </c>
      <c r="H3" s="120"/>
      <c r="I3" s="119"/>
      <c r="J3" s="119"/>
    </row>
    <row r="4" spans="1:10" ht="21.95" customHeight="1" x14ac:dyDescent="0.25">
      <c r="A4" s="116" t="s">
        <v>57</v>
      </c>
      <c r="B4" s="117" t="s">
        <v>24</v>
      </c>
      <c r="C4" s="118">
        <v>120</v>
      </c>
      <c r="D4" s="117" t="s">
        <v>58</v>
      </c>
      <c r="E4" s="117" t="s">
        <v>54</v>
      </c>
      <c r="F4" s="117" t="s">
        <v>59</v>
      </c>
      <c r="G4" s="117" t="s">
        <v>56</v>
      </c>
      <c r="H4" s="117"/>
      <c r="I4" s="116"/>
      <c r="J4" s="116"/>
    </row>
    <row r="5" spans="1:10" ht="21.95" customHeight="1" x14ac:dyDescent="0.25">
      <c r="A5" s="119" t="s">
        <v>60</v>
      </c>
      <c r="B5" s="120" t="s">
        <v>24</v>
      </c>
      <c r="C5" s="121">
        <v>80</v>
      </c>
      <c r="D5" s="120" t="s">
        <v>61</v>
      </c>
      <c r="E5" s="120" t="s">
        <v>54</v>
      </c>
      <c r="F5" s="120" t="s">
        <v>59</v>
      </c>
      <c r="G5" s="120" t="s">
        <v>56</v>
      </c>
      <c r="H5" s="120"/>
      <c r="I5" s="119"/>
      <c r="J5" s="119"/>
    </row>
    <row r="6" spans="1:10" ht="21.95" customHeight="1" x14ac:dyDescent="0.25">
      <c r="A6" s="116" t="s">
        <v>62</v>
      </c>
      <c r="B6" s="117" t="s">
        <v>24</v>
      </c>
      <c r="C6" s="118">
        <v>65</v>
      </c>
      <c r="D6" s="117" t="s">
        <v>63</v>
      </c>
      <c r="E6" s="117" t="s">
        <v>54</v>
      </c>
      <c r="F6" s="117" t="s">
        <v>59</v>
      </c>
      <c r="G6" s="117" t="s">
        <v>56</v>
      </c>
      <c r="H6" s="117"/>
      <c r="I6" s="116"/>
      <c r="J6" s="116"/>
    </row>
    <row r="7" spans="1:10" ht="21.95" customHeight="1" x14ac:dyDescent="0.25">
      <c r="A7" s="119" t="s">
        <v>64</v>
      </c>
      <c r="B7" s="120" t="s">
        <v>24</v>
      </c>
      <c r="C7" s="121">
        <v>70</v>
      </c>
      <c r="D7" s="120" t="s">
        <v>65</v>
      </c>
      <c r="E7" s="120" t="s">
        <v>54</v>
      </c>
      <c r="F7" s="120" t="s">
        <v>66</v>
      </c>
      <c r="G7" s="120" t="s">
        <v>56</v>
      </c>
      <c r="H7" s="120"/>
      <c r="I7" s="119"/>
      <c r="J7" s="119"/>
    </row>
    <row r="8" spans="1:10" ht="21.95" customHeight="1" x14ac:dyDescent="0.25">
      <c r="A8" s="116" t="s">
        <v>67</v>
      </c>
      <c r="B8" s="117" t="s">
        <v>24</v>
      </c>
      <c r="C8" s="118">
        <v>85</v>
      </c>
      <c r="D8" s="117" t="s">
        <v>68</v>
      </c>
      <c r="E8" s="117" t="s">
        <v>54</v>
      </c>
      <c r="F8" s="117" t="s">
        <v>59</v>
      </c>
      <c r="G8" s="117" t="s">
        <v>56</v>
      </c>
      <c r="H8" s="117"/>
      <c r="I8" s="116"/>
      <c r="J8" s="116"/>
    </row>
    <row r="9" spans="1:10" ht="21.95" customHeight="1" x14ac:dyDescent="0.25">
      <c r="A9" s="119" t="s">
        <v>69</v>
      </c>
      <c r="B9" s="120" t="s">
        <v>26</v>
      </c>
      <c r="C9" s="121">
        <v>150</v>
      </c>
      <c r="D9" s="120" t="s">
        <v>70</v>
      </c>
      <c r="E9" s="120" t="s">
        <v>54</v>
      </c>
      <c r="F9" s="120" t="s">
        <v>55</v>
      </c>
      <c r="G9" s="120" t="s">
        <v>56</v>
      </c>
      <c r="H9" s="120"/>
      <c r="I9" s="119"/>
      <c r="J9" s="119"/>
    </row>
    <row r="10" spans="1:10" ht="21.95" customHeight="1" x14ac:dyDescent="0.25">
      <c r="A10" s="116" t="s">
        <v>71</v>
      </c>
      <c r="B10" s="117" t="s">
        <v>26</v>
      </c>
      <c r="C10" s="118">
        <v>250</v>
      </c>
      <c r="D10" s="117" t="s">
        <v>53</v>
      </c>
      <c r="E10" s="117" t="s">
        <v>54</v>
      </c>
      <c r="F10" s="117" t="s">
        <v>72</v>
      </c>
      <c r="G10" s="117" t="s">
        <v>56</v>
      </c>
      <c r="H10" s="117"/>
      <c r="I10" s="116"/>
      <c r="J10" s="116"/>
    </row>
    <row r="11" spans="1:10" ht="21.95" customHeight="1" x14ac:dyDescent="0.25">
      <c r="A11" s="119" t="s">
        <v>73</v>
      </c>
      <c r="B11" s="120" t="s">
        <v>32</v>
      </c>
      <c r="C11" s="121">
        <v>350</v>
      </c>
      <c r="D11" s="120" t="s">
        <v>74</v>
      </c>
      <c r="E11" s="120" t="s">
        <v>54</v>
      </c>
      <c r="F11" s="120" t="s">
        <v>55</v>
      </c>
      <c r="G11" s="120" t="s">
        <v>56</v>
      </c>
      <c r="H11" s="120"/>
      <c r="I11" s="119"/>
      <c r="J11" s="119"/>
    </row>
    <row r="12" spans="1:10" ht="21.95" customHeight="1" x14ac:dyDescent="0.25">
      <c r="A12" s="116" t="s">
        <v>75</v>
      </c>
      <c r="B12" s="117" t="s">
        <v>32</v>
      </c>
      <c r="C12" s="118">
        <v>280</v>
      </c>
      <c r="D12" s="117" t="s">
        <v>76</v>
      </c>
      <c r="E12" s="117" t="s">
        <v>54</v>
      </c>
      <c r="F12" s="117" t="s">
        <v>59</v>
      </c>
      <c r="G12" s="117" t="s">
        <v>56</v>
      </c>
      <c r="H12" s="117"/>
      <c r="I12" s="116"/>
      <c r="J12" s="116"/>
    </row>
    <row r="13" spans="1:10" ht="21.95" customHeight="1" x14ac:dyDescent="0.25">
      <c r="A13" s="119" t="s">
        <v>77</v>
      </c>
      <c r="B13" s="120" t="s">
        <v>30</v>
      </c>
      <c r="C13" s="121">
        <v>15.99</v>
      </c>
      <c r="D13" s="120" t="s">
        <v>78</v>
      </c>
      <c r="E13" s="120" t="s">
        <v>54</v>
      </c>
      <c r="F13" s="120" t="s">
        <v>66</v>
      </c>
      <c r="G13" s="120" t="s">
        <v>56</v>
      </c>
      <c r="H13" s="120"/>
      <c r="I13" s="119"/>
      <c r="J13" s="119"/>
    </row>
    <row r="14" spans="1:10" ht="21.95" customHeight="1" x14ac:dyDescent="0.25">
      <c r="A14" s="116" t="s">
        <v>79</v>
      </c>
      <c r="B14" s="117" t="s">
        <v>30</v>
      </c>
      <c r="C14" s="118">
        <v>10.99</v>
      </c>
      <c r="D14" s="117" t="s">
        <v>80</v>
      </c>
      <c r="E14" s="117" t="s">
        <v>54</v>
      </c>
      <c r="F14" s="117" t="s">
        <v>66</v>
      </c>
      <c r="G14" s="117" t="s">
        <v>56</v>
      </c>
      <c r="H14" s="117"/>
      <c r="I14" s="116"/>
      <c r="J14" s="116"/>
    </row>
    <row r="15" spans="1:10" ht="21.95" customHeight="1" x14ac:dyDescent="0.25">
      <c r="A15" s="119" t="s">
        <v>81</v>
      </c>
      <c r="B15" s="120" t="s">
        <v>30</v>
      </c>
      <c r="C15" s="121">
        <v>49.99</v>
      </c>
      <c r="D15" s="120" t="s">
        <v>53</v>
      </c>
      <c r="E15" s="120" t="s">
        <v>54</v>
      </c>
      <c r="F15" s="120" t="s">
        <v>66</v>
      </c>
      <c r="G15" s="120" t="s">
        <v>82</v>
      </c>
      <c r="H15" s="120"/>
      <c r="I15" s="119"/>
      <c r="J15" s="119"/>
    </row>
    <row r="16" spans="1:10" ht="21.95" customHeight="1" x14ac:dyDescent="0.25">
      <c r="A16" s="116" t="s">
        <v>83</v>
      </c>
      <c r="B16" s="117" t="s">
        <v>26</v>
      </c>
      <c r="C16" s="118">
        <v>25</v>
      </c>
      <c r="D16" s="117" t="s">
        <v>53</v>
      </c>
      <c r="E16" s="117" t="s">
        <v>54</v>
      </c>
      <c r="F16" s="117" t="s">
        <v>59</v>
      </c>
      <c r="G16" s="117" t="s">
        <v>56</v>
      </c>
      <c r="H16" s="117"/>
      <c r="I16" s="116"/>
      <c r="J16" s="116"/>
    </row>
    <row r="17" spans="1:10" ht="21.95" customHeight="1" x14ac:dyDescent="0.25">
      <c r="A17" s="119" t="s">
        <v>84</v>
      </c>
      <c r="B17" s="120" t="s">
        <v>30</v>
      </c>
      <c r="C17" s="121">
        <v>2.99</v>
      </c>
      <c r="D17" s="120" t="s">
        <v>63</v>
      </c>
      <c r="E17" s="120" t="s">
        <v>54</v>
      </c>
      <c r="F17" s="120" t="s">
        <v>66</v>
      </c>
      <c r="G17" s="120" t="s">
        <v>56</v>
      </c>
      <c r="H17" s="120"/>
      <c r="I17" s="119"/>
      <c r="J17" s="119"/>
    </row>
    <row r="18" spans="1:10" ht="21.95" customHeight="1" x14ac:dyDescent="0.25">
      <c r="A18" s="116"/>
      <c r="B18" s="117"/>
      <c r="C18" s="118"/>
      <c r="D18" s="117"/>
      <c r="E18" s="117"/>
      <c r="F18" s="117"/>
      <c r="G18" s="117"/>
      <c r="H18" s="117"/>
      <c r="I18" s="116"/>
      <c r="J18" s="116"/>
    </row>
    <row r="19" spans="1:10" ht="21.95" customHeight="1" x14ac:dyDescent="0.25">
      <c r="A19" s="119"/>
      <c r="B19" s="120"/>
      <c r="C19" s="121"/>
      <c r="D19" s="120"/>
      <c r="E19" s="120"/>
      <c r="F19" s="120"/>
      <c r="G19" s="120"/>
      <c r="H19" s="120"/>
      <c r="I19" s="119"/>
      <c r="J19" s="119"/>
    </row>
    <row r="20" spans="1:10" ht="21.95" customHeight="1" x14ac:dyDescent="0.25">
      <c r="A20" s="116"/>
      <c r="B20" s="117"/>
      <c r="C20" s="118"/>
      <c r="D20" s="117"/>
      <c r="E20" s="117"/>
      <c r="F20" s="117"/>
      <c r="G20" s="117"/>
      <c r="H20" s="117"/>
      <c r="I20" s="116"/>
      <c r="J20" s="116"/>
    </row>
    <row r="21" spans="1:10" ht="21.95" customHeight="1" x14ac:dyDescent="0.25">
      <c r="A21" s="119"/>
      <c r="B21" s="120"/>
      <c r="C21" s="121"/>
      <c r="D21" s="120"/>
      <c r="E21" s="120"/>
      <c r="F21" s="120"/>
      <c r="G21" s="120"/>
      <c r="H21" s="120"/>
      <c r="I21" s="119"/>
      <c r="J21" s="119"/>
    </row>
    <row r="22" spans="1:10" ht="21.95" customHeight="1" x14ac:dyDescent="0.25">
      <c r="A22" s="116"/>
      <c r="B22" s="117"/>
      <c r="C22" s="118"/>
      <c r="D22" s="117"/>
      <c r="E22" s="117"/>
      <c r="F22" s="117"/>
      <c r="G22" s="117"/>
      <c r="H22" s="117"/>
      <c r="I22" s="116"/>
      <c r="J22" s="116"/>
    </row>
    <row r="23" spans="1:10" ht="21.95" customHeight="1" x14ac:dyDescent="0.25">
      <c r="A23" s="119"/>
      <c r="B23" s="120"/>
      <c r="C23" s="121"/>
      <c r="D23" s="120"/>
      <c r="E23" s="120"/>
      <c r="F23" s="120"/>
      <c r="G23" s="120"/>
      <c r="H23" s="120"/>
      <c r="I23" s="119"/>
      <c r="J23" s="119"/>
    </row>
    <row r="24" spans="1:10" ht="21.95" customHeight="1" x14ac:dyDescent="0.25">
      <c r="A24" s="116"/>
      <c r="B24" s="117"/>
      <c r="C24" s="118"/>
      <c r="D24" s="117"/>
      <c r="E24" s="117"/>
      <c r="F24" s="117"/>
      <c r="G24" s="117"/>
      <c r="H24" s="117"/>
      <c r="I24" s="116"/>
      <c r="J24" s="116"/>
    </row>
    <row r="25" spans="1:10" ht="21.95" customHeight="1" x14ac:dyDescent="0.25">
      <c r="A25" s="119"/>
      <c r="B25" s="120"/>
      <c r="C25" s="121"/>
      <c r="D25" s="120"/>
      <c r="E25" s="120"/>
      <c r="F25" s="120"/>
      <c r="G25" s="120"/>
      <c r="H25" s="120"/>
      <c r="I25" s="119"/>
      <c r="J25" s="119"/>
    </row>
    <row r="26" spans="1:10" ht="21.95" customHeight="1" x14ac:dyDescent="0.25">
      <c r="A26" s="116"/>
      <c r="B26" s="117"/>
      <c r="C26" s="118"/>
      <c r="D26" s="117"/>
      <c r="E26" s="117"/>
      <c r="F26" s="117"/>
      <c r="G26" s="117"/>
      <c r="H26" s="117"/>
      <c r="I26" s="116"/>
      <c r="J26" s="116"/>
    </row>
    <row r="27" spans="1:10" ht="21.95" customHeight="1" x14ac:dyDescent="0.25">
      <c r="A27" s="119"/>
      <c r="B27" s="120"/>
      <c r="C27" s="121"/>
      <c r="D27" s="120"/>
      <c r="E27" s="120"/>
      <c r="F27" s="120"/>
      <c r="G27" s="120"/>
      <c r="H27" s="120"/>
      <c r="I27" s="119"/>
      <c r="J27" s="119"/>
    </row>
    <row r="28" spans="1:10" ht="21.95" customHeight="1" x14ac:dyDescent="0.25">
      <c r="A28" s="116"/>
      <c r="B28" s="117"/>
      <c r="C28" s="118"/>
      <c r="D28" s="117"/>
      <c r="E28" s="117"/>
      <c r="F28" s="117"/>
      <c r="G28" s="117"/>
      <c r="H28" s="117"/>
      <c r="I28" s="116"/>
      <c r="J28" s="116"/>
    </row>
    <row r="29" spans="1:10" ht="21.95" customHeight="1" x14ac:dyDescent="0.25">
      <c r="A29" s="119"/>
      <c r="B29" s="120"/>
      <c r="C29" s="121"/>
      <c r="D29" s="120"/>
      <c r="E29" s="120"/>
      <c r="F29" s="120"/>
      <c r="G29" s="120"/>
      <c r="H29" s="120"/>
      <c r="I29" s="119"/>
      <c r="J29" s="119"/>
    </row>
    <row r="30" spans="1:10" ht="21.95" customHeight="1" x14ac:dyDescent="0.25">
      <c r="A30" s="116"/>
      <c r="B30" s="117"/>
      <c r="C30" s="118"/>
      <c r="D30" s="117"/>
      <c r="E30" s="117"/>
      <c r="F30" s="117"/>
      <c r="G30" s="117"/>
      <c r="H30" s="117"/>
      <c r="I30" s="116"/>
      <c r="J30" s="116"/>
    </row>
    <row r="31" spans="1:10" ht="21.95" customHeight="1" x14ac:dyDescent="0.25">
      <c r="A31" s="119"/>
      <c r="B31" s="120"/>
      <c r="C31" s="121"/>
      <c r="D31" s="120"/>
      <c r="E31" s="120"/>
      <c r="F31" s="120"/>
      <c r="G31" s="120"/>
      <c r="H31" s="120"/>
      <c r="I31" s="119"/>
      <c r="J31" s="119"/>
    </row>
    <row r="32" spans="1:10" ht="21.95" customHeight="1" x14ac:dyDescent="0.25">
      <c r="A32" s="116"/>
      <c r="B32" s="117"/>
      <c r="C32" s="118"/>
      <c r="D32" s="117"/>
      <c r="E32" s="117"/>
      <c r="F32" s="117"/>
      <c r="G32" s="117"/>
      <c r="H32" s="117"/>
      <c r="I32" s="116"/>
      <c r="J32" s="116"/>
    </row>
    <row r="33" spans="1:10" ht="21.95" customHeight="1" x14ac:dyDescent="0.25">
      <c r="A33" s="119"/>
      <c r="B33" s="120"/>
      <c r="C33" s="121"/>
      <c r="D33" s="120"/>
      <c r="E33" s="120"/>
      <c r="F33" s="120"/>
      <c r="G33" s="120"/>
      <c r="H33" s="120"/>
      <c r="I33" s="119"/>
      <c r="J33" s="119"/>
    </row>
    <row r="34" spans="1:10" ht="21.95" customHeight="1" x14ac:dyDescent="0.25">
      <c r="A34" s="116"/>
      <c r="B34" s="117"/>
      <c r="C34" s="118"/>
      <c r="D34" s="117"/>
      <c r="E34" s="117"/>
      <c r="F34" s="117"/>
      <c r="G34" s="117"/>
      <c r="H34" s="117"/>
      <c r="I34" s="116"/>
      <c r="J34" s="116"/>
    </row>
    <row r="35" spans="1:10" ht="21.95" customHeight="1" x14ac:dyDescent="0.25">
      <c r="A35" s="119"/>
      <c r="B35" s="120"/>
      <c r="C35" s="121"/>
      <c r="D35" s="120"/>
      <c r="E35" s="120"/>
      <c r="F35" s="120"/>
      <c r="G35" s="120"/>
      <c r="H35" s="120"/>
      <c r="I35" s="119"/>
      <c r="J35" s="119"/>
    </row>
    <row r="36" spans="1:10" ht="21.95" customHeight="1" x14ac:dyDescent="0.25">
      <c r="A36" s="116"/>
      <c r="B36" s="117"/>
      <c r="C36" s="118"/>
      <c r="D36" s="117"/>
      <c r="E36" s="117"/>
      <c r="F36" s="117"/>
      <c r="G36" s="117"/>
      <c r="H36" s="117"/>
      <c r="I36" s="116"/>
      <c r="J36" s="116"/>
    </row>
    <row r="37" spans="1:10" ht="21.95" customHeight="1" x14ac:dyDescent="0.25">
      <c r="A37" s="119"/>
      <c r="B37" s="120"/>
      <c r="C37" s="121"/>
      <c r="D37" s="120"/>
      <c r="E37" s="120"/>
      <c r="F37" s="120"/>
      <c r="G37" s="120"/>
      <c r="H37" s="120"/>
      <c r="I37" s="119"/>
      <c r="J37" s="119"/>
    </row>
    <row r="38" spans="1:10" ht="21.95" customHeight="1" x14ac:dyDescent="0.25">
      <c r="A38" s="116"/>
      <c r="B38" s="117"/>
      <c r="C38" s="118"/>
      <c r="D38" s="117"/>
      <c r="E38" s="117"/>
      <c r="F38" s="117"/>
      <c r="G38" s="117"/>
      <c r="H38" s="117"/>
      <c r="I38" s="116"/>
      <c r="J38" s="116"/>
    </row>
    <row r="39" spans="1:10" ht="21.95" customHeight="1" x14ac:dyDescent="0.25">
      <c r="A39" s="119"/>
      <c r="B39" s="120"/>
      <c r="C39" s="121"/>
      <c r="D39" s="120"/>
      <c r="E39" s="120"/>
      <c r="F39" s="120"/>
      <c r="G39" s="120"/>
      <c r="H39" s="120"/>
      <c r="I39" s="119"/>
      <c r="J39" s="119"/>
    </row>
    <row r="40" spans="1:10" ht="21.95" customHeight="1" x14ac:dyDescent="0.25">
      <c r="A40" s="116"/>
      <c r="B40" s="117"/>
      <c r="C40" s="118"/>
      <c r="D40" s="117"/>
      <c r="E40" s="117"/>
      <c r="F40" s="117"/>
      <c r="G40" s="117"/>
      <c r="H40" s="117"/>
      <c r="I40" s="116"/>
      <c r="J40" s="116"/>
    </row>
    <row r="41" spans="1:10" ht="21.95" customHeight="1" x14ac:dyDescent="0.25">
      <c r="A41" s="119"/>
      <c r="B41" s="120"/>
      <c r="C41" s="121"/>
      <c r="D41" s="120"/>
      <c r="E41" s="120"/>
      <c r="F41" s="120"/>
      <c r="G41" s="120"/>
      <c r="H41" s="120"/>
      <c r="I41" s="119"/>
      <c r="J41" s="119"/>
    </row>
    <row r="42" spans="1:10" ht="26.1" customHeight="1" x14ac:dyDescent="0.25">
      <c r="A42" s="58" t="s">
        <v>85</v>
      </c>
      <c r="B42" s="59"/>
      <c r="C42" s="60">
        <f>SUM(C3:C41)</f>
        <v>3054.9599999999991</v>
      </c>
      <c r="D42" s="61"/>
      <c r="E42" s="61"/>
      <c r="F42" s="61"/>
      <c r="G42" s="61"/>
      <c r="H42" s="61"/>
      <c r="I42" s="62"/>
      <c r="J42" s="62"/>
    </row>
    <row r="43" spans="1:10" ht="26.1" customHeight="1" x14ac:dyDescent="0.25">
      <c r="A43" s="58" t="s">
        <v>86</v>
      </c>
      <c r="B43" s="59"/>
      <c r="C43" s="60">
        <f>SUMPRODUCT((E3:E41="Monthly")*(C3:C41)*12)+SUMPRODUCT((E3:E41="Quarterly")*(C3:C41)*4)+SUMPRODUCT((E3:E41="Semi-Annual")*(C3:C41)*2)+SUMPRODUCT((E3:E41="Annual")*(C3:C41))</f>
        <v>36659.51999999999</v>
      </c>
      <c r="D43" s="63"/>
      <c r="E43" s="63"/>
      <c r="F43" s="63"/>
      <c r="G43" s="63"/>
      <c r="H43" s="63"/>
      <c r="I43" s="63"/>
      <c r="J43" s="63"/>
    </row>
  </sheetData>
  <sheetProtection sheet="1" objects="1" scenarios="1" autoFilter="0"/>
  <mergeCells count="3">
    <mergeCell ref="A43:B43"/>
    <mergeCell ref="A1:J1"/>
    <mergeCell ref="A42:B42"/>
  </mergeCells>
  <dataValidations count="3">
    <dataValidation type="list" allowBlank="1" errorTitle="Invalid Category" error="Please select a valid category" promptTitle="Category" prompt="Select bill category" sqref="B3 B4 B5 B6 B7 B8 B9 B10 B11 B12 B13 B14 B15 B16 B17 B18 B19 B20 B21 B22 B23 B24 B25 B26 B27 B28 B29 B30 B31 B32 B33 B34 B35 B36 B37 B38 B39 B40 B41 B42" xr:uid="{00000000-0002-0000-0100-000000000000}">
      <formula1>"Housing,Utilities,Insurance,Transportation,Subscriptions,Loans,Medical,Other"</formula1>
    </dataValidation>
    <dataValidation type="list" allowBlank="1" errorTitle="Invalid Frequency" error="Please select a valid frequency" sqref="E3 E4 E5 E6 E7 E8 E9 E10 E11 E12 E13 E14 E15 E16 E17 E18 E19 E20 E21 E22 E23 E24 E25 E26 E27 E28 E29 E30 E31 E32 E33 E34 E35 E36 E37 E38 E39 E40 E41 E42" xr:uid="{00000000-0002-0000-0100-000001000000}">
      <formula1>"Monthly,Quarterly,Semi-Annual,Annual"</formula1>
    </dataValidation>
    <dataValidation type="list" allowBlank="1" sqref="G3 G4 G5 G6 G7 G8 G9 G10 G11 G12 G13 G14 G15 G16 G17 G18 G19 G20 G21 G22 G23 G24 G25 G26 G27 G28 G29 G30 G31 G32 G33 G34 G35 G36 G37 G38 G39 G40 G41 G42" xr:uid="{00000000-0002-0000-0100-000002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AE60"/>
  </sheetPr>
  <dimension ref="A1:G289"/>
  <sheetViews>
    <sheetView workbookViewId="0">
      <pane ySplit="2" topLeftCell="A3" activePane="bottomLeft" state="frozen"/>
      <selection pane="bottomLeft" sqref="A1:G1"/>
    </sheetView>
  </sheetViews>
  <sheetFormatPr baseColWidth="10" defaultColWidth="9.140625" defaultRowHeight="15" x14ac:dyDescent="0.25"/>
  <cols>
    <col min="1" max="1" width="28.5703125" style="73" customWidth="1"/>
    <col min="2" max="2" width="19" style="73" customWidth="1"/>
    <col min="3" max="3" width="17.140625" style="73" customWidth="1"/>
    <col min="4" max="4" width="12.42578125" style="73" customWidth="1"/>
    <col min="5" max="5" width="17.140625" style="73" customWidth="1"/>
    <col min="6" max="6" width="22.85546875" style="73" customWidth="1"/>
    <col min="7" max="7" width="32.42578125" style="73" customWidth="1"/>
  </cols>
  <sheetData>
    <row r="1" spans="1:7" ht="35.1" customHeight="1" x14ac:dyDescent="0.25">
      <c r="A1" s="53" t="s">
        <v>87</v>
      </c>
      <c r="B1" s="54"/>
      <c r="C1" s="54"/>
      <c r="D1" s="54"/>
      <c r="E1" s="54"/>
      <c r="F1" s="54"/>
      <c r="G1" s="54"/>
    </row>
    <row r="2" spans="1:7" ht="8.1" customHeight="1" x14ac:dyDescent="0.25"/>
    <row r="3" spans="1:7" ht="27.95" customHeight="1" x14ac:dyDescent="0.25">
      <c r="A3" s="74" t="s">
        <v>88</v>
      </c>
      <c r="B3" s="54"/>
      <c r="C3" s="54"/>
      <c r="D3" s="54"/>
      <c r="E3" s="54"/>
      <c r="F3" s="54"/>
      <c r="G3" s="54"/>
    </row>
    <row r="4" spans="1:7" ht="26.1" customHeight="1" x14ac:dyDescent="0.25">
      <c r="A4" s="55" t="s">
        <v>43</v>
      </c>
      <c r="B4" s="55" t="s">
        <v>45</v>
      </c>
      <c r="C4" s="55" t="s">
        <v>44</v>
      </c>
      <c r="D4" s="55" t="s">
        <v>89</v>
      </c>
      <c r="E4" s="55" t="s">
        <v>90</v>
      </c>
      <c r="F4" s="55" t="s">
        <v>91</v>
      </c>
      <c r="G4" s="55" t="s">
        <v>51</v>
      </c>
    </row>
    <row r="5" spans="1:7" ht="21.95" customHeight="1" x14ac:dyDescent="0.25">
      <c r="A5" s="64" t="s">
        <v>52</v>
      </c>
      <c r="B5" s="65" t="s">
        <v>92</v>
      </c>
      <c r="C5" s="66">
        <v>1500</v>
      </c>
      <c r="D5" s="65" t="s">
        <v>56</v>
      </c>
      <c r="E5" s="65" t="s">
        <v>93</v>
      </c>
      <c r="F5" s="65"/>
      <c r="G5" s="64"/>
    </row>
    <row r="6" spans="1:7" ht="21.95" customHeight="1" x14ac:dyDescent="0.25">
      <c r="A6" s="67" t="s">
        <v>57</v>
      </c>
      <c r="B6" s="68" t="s">
        <v>94</v>
      </c>
      <c r="C6" s="69">
        <v>120</v>
      </c>
      <c r="D6" s="68" t="s">
        <v>56</v>
      </c>
      <c r="E6" s="68" t="s">
        <v>95</v>
      </c>
      <c r="F6" s="68"/>
      <c r="G6" s="67"/>
    </row>
    <row r="7" spans="1:7" ht="21.95" customHeight="1" x14ac:dyDescent="0.25">
      <c r="A7" s="64" t="s">
        <v>60</v>
      </c>
      <c r="B7" s="65" t="s">
        <v>96</v>
      </c>
      <c r="C7" s="66">
        <v>80</v>
      </c>
      <c r="D7" s="65" t="s">
        <v>56</v>
      </c>
      <c r="E7" s="65" t="s">
        <v>97</v>
      </c>
      <c r="F7" s="65"/>
      <c r="G7" s="64"/>
    </row>
    <row r="8" spans="1:7" ht="21.95" customHeight="1" x14ac:dyDescent="0.25">
      <c r="A8" s="67" t="s">
        <v>62</v>
      </c>
      <c r="B8" s="68" t="s">
        <v>98</v>
      </c>
      <c r="C8" s="69">
        <v>65</v>
      </c>
      <c r="D8" s="68" t="s">
        <v>56</v>
      </c>
      <c r="E8" s="68" t="s">
        <v>99</v>
      </c>
      <c r="F8" s="68"/>
      <c r="G8" s="67"/>
    </row>
    <row r="9" spans="1:7" ht="21.95" customHeight="1" x14ac:dyDescent="0.25">
      <c r="A9" s="64" t="s">
        <v>64</v>
      </c>
      <c r="B9" s="65" t="s">
        <v>100</v>
      </c>
      <c r="C9" s="66">
        <v>70</v>
      </c>
      <c r="D9" s="65" t="s">
        <v>56</v>
      </c>
      <c r="E9" s="65" t="s">
        <v>101</v>
      </c>
      <c r="F9" s="65"/>
      <c r="G9" s="64"/>
    </row>
    <row r="10" spans="1:7" ht="21.95" customHeight="1" x14ac:dyDescent="0.25">
      <c r="A10" s="67" t="s">
        <v>67</v>
      </c>
      <c r="B10" s="68" t="s">
        <v>102</v>
      </c>
      <c r="C10" s="69">
        <v>85</v>
      </c>
      <c r="D10" s="68" t="s">
        <v>56</v>
      </c>
      <c r="E10" s="68" t="s">
        <v>103</v>
      </c>
      <c r="F10" s="68"/>
      <c r="G10" s="67"/>
    </row>
    <row r="11" spans="1:7" ht="21.95" customHeight="1" x14ac:dyDescent="0.25">
      <c r="A11" s="64" t="s">
        <v>69</v>
      </c>
      <c r="B11" s="65" t="s">
        <v>104</v>
      </c>
      <c r="C11" s="66">
        <v>150</v>
      </c>
      <c r="D11" s="65" t="s">
        <v>56</v>
      </c>
      <c r="E11" s="65" t="s">
        <v>105</v>
      </c>
      <c r="F11" s="65"/>
      <c r="G11" s="64"/>
    </row>
    <row r="12" spans="1:7" ht="21.95" customHeight="1" x14ac:dyDescent="0.25">
      <c r="A12" s="67" t="s">
        <v>71</v>
      </c>
      <c r="B12" s="68" t="s">
        <v>92</v>
      </c>
      <c r="C12" s="69">
        <v>250</v>
      </c>
      <c r="D12" s="68" t="s">
        <v>56</v>
      </c>
      <c r="E12" s="68" t="s">
        <v>93</v>
      </c>
      <c r="F12" s="68"/>
      <c r="G12" s="67"/>
    </row>
    <row r="13" spans="1:7" ht="21.95" customHeight="1" x14ac:dyDescent="0.25">
      <c r="A13" s="64" t="s">
        <v>73</v>
      </c>
      <c r="B13" s="65" t="s">
        <v>106</v>
      </c>
      <c r="C13" s="66">
        <v>350</v>
      </c>
      <c r="D13" s="65" t="s">
        <v>82</v>
      </c>
      <c r="E13" s="65"/>
      <c r="F13" s="65"/>
      <c r="G13" s="64"/>
    </row>
    <row r="14" spans="1:7" ht="21.95" customHeight="1" x14ac:dyDescent="0.25">
      <c r="A14" s="67" t="s">
        <v>75</v>
      </c>
      <c r="B14" s="68" t="s">
        <v>107</v>
      </c>
      <c r="C14" s="69">
        <v>280</v>
      </c>
      <c r="D14" s="68" t="s">
        <v>82</v>
      </c>
      <c r="E14" s="68"/>
      <c r="F14" s="68"/>
      <c r="G14" s="67"/>
    </row>
    <row r="15" spans="1:7" ht="21.95" customHeight="1" x14ac:dyDescent="0.25">
      <c r="A15" s="64" t="s">
        <v>77</v>
      </c>
      <c r="B15" s="65" t="s">
        <v>108</v>
      </c>
      <c r="C15" s="66">
        <v>15.99</v>
      </c>
      <c r="D15" s="65" t="s">
        <v>82</v>
      </c>
      <c r="E15" s="65"/>
      <c r="F15" s="65"/>
      <c r="G15" s="64"/>
    </row>
    <row r="16" spans="1:7" ht="21.95" customHeight="1" x14ac:dyDescent="0.25">
      <c r="A16" s="67" t="s">
        <v>79</v>
      </c>
      <c r="B16" s="68" t="s">
        <v>109</v>
      </c>
      <c r="C16" s="69">
        <v>10.99</v>
      </c>
      <c r="D16" s="68" t="s">
        <v>82</v>
      </c>
      <c r="E16" s="68"/>
      <c r="F16" s="68"/>
      <c r="G16" s="67"/>
    </row>
    <row r="17" spans="1:7" ht="21.95" customHeight="1" x14ac:dyDescent="0.25">
      <c r="A17" s="64" t="s">
        <v>81</v>
      </c>
      <c r="B17" s="65" t="s">
        <v>92</v>
      </c>
      <c r="C17" s="66">
        <v>49.99</v>
      </c>
      <c r="D17" s="65" t="s">
        <v>82</v>
      </c>
      <c r="E17" s="65"/>
      <c r="F17" s="65"/>
      <c r="G17" s="64"/>
    </row>
    <row r="18" spans="1:7" ht="21.95" customHeight="1" x14ac:dyDescent="0.25">
      <c r="A18" s="67" t="s">
        <v>83</v>
      </c>
      <c r="B18" s="68" t="s">
        <v>92</v>
      </c>
      <c r="C18" s="69">
        <v>25</v>
      </c>
      <c r="D18" s="68" t="s">
        <v>82</v>
      </c>
      <c r="E18" s="68"/>
      <c r="F18" s="68"/>
      <c r="G18" s="67"/>
    </row>
    <row r="19" spans="1:7" ht="21.95" customHeight="1" x14ac:dyDescent="0.25">
      <c r="A19" s="64" t="s">
        <v>84</v>
      </c>
      <c r="B19" s="65" t="s">
        <v>98</v>
      </c>
      <c r="C19" s="66">
        <v>2.99</v>
      </c>
      <c r="D19" s="65" t="s">
        <v>82</v>
      </c>
      <c r="E19" s="65"/>
      <c r="F19" s="65"/>
      <c r="G19" s="64"/>
    </row>
    <row r="20" spans="1:7" ht="21.95" customHeight="1" x14ac:dyDescent="0.25">
      <c r="A20" s="70"/>
      <c r="B20" s="71"/>
      <c r="C20" s="72"/>
      <c r="D20" s="71"/>
      <c r="E20" s="71"/>
      <c r="F20" s="71"/>
      <c r="G20" s="70"/>
    </row>
    <row r="21" spans="1:7" ht="21.95" customHeight="1" x14ac:dyDescent="0.25">
      <c r="A21" s="70"/>
      <c r="B21" s="71"/>
      <c r="C21" s="72"/>
      <c r="D21" s="71"/>
      <c r="E21" s="71"/>
      <c r="F21" s="71"/>
      <c r="G21" s="70"/>
    </row>
    <row r="22" spans="1:7" ht="21.95" customHeight="1" x14ac:dyDescent="0.25">
      <c r="A22" s="70"/>
      <c r="B22" s="71"/>
      <c r="C22" s="72"/>
      <c r="D22" s="71"/>
      <c r="E22" s="71"/>
      <c r="F22" s="71"/>
      <c r="G22" s="70"/>
    </row>
    <row r="23" spans="1:7" ht="21.95" customHeight="1" x14ac:dyDescent="0.25">
      <c r="A23" s="70"/>
      <c r="B23" s="71"/>
      <c r="C23" s="72"/>
      <c r="D23" s="71"/>
      <c r="E23" s="71"/>
      <c r="F23" s="71"/>
      <c r="G23" s="70"/>
    </row>
    <row r="24" spans="1:7" ht="21.95" customHeight="1" x14ac:dyDescent="0.25">
      <c r="A24" s="70"/>
      <c r="B24" s="71"/>
      <c r="C24" s="72"/>
      <c r="D24" s="71"/>
      <c r="E24" s="71"/>
      <c r="F24" s="71"/>
      <c r="G24" s="70"/>
    </row>
    <row r="25" spans="1:7" ht="26.1" customHeight="1" x14ac:dyDescent="0.25">
      <c r="A25" s="58" t="s">
        <v>110</v>
      </c>
      <c r="B25" s="59"/>
      <c r="C25" s="60">
        <f>SUM(C5:C24)</f>
        <v>3054.9599999999991</v>
      </c>
      <c r="D25" s="63"/>
      <c r="E25" s="84" cm="1">
        <f t="array" ref="E25">IFERROR(SUMPRODUCT((D5:D24="Yes")*(C5:C24*1)),0)</f>
        <v>2320</v>
      </c>
      <c r="F25" s="59"/>
      <c r="G25" s="63"/>
    </row>
    <row r="26" spans="1:7" ht="8.1" customHeight="1" x14ac:dyDescent="0.25"/>
    <row r="27" spans="1:7" ht="27.95" customHeight="1" x14ac:dyDescent="0.25">
      <c r="A27" s="74" t="s">
        <v>111</v>
      </c>
      <c r="B27" s="54"/>
      <c r="C27" s="54"/>
      <c r="D27" s="54"/>
      <c r="E27" s="54"/>
      <c r="F27" s="54"/>
      <c r="G27" s="54"/>
    </row>
    <row r="28" spans="1:7" ht="26.1" customHeight="1" x14ac:dyDescent="0.25">
      <c r="A28" s="55" t="s">
        <v>43</v>
      </c>
      <c r="B28" s="55" t="s">
        <v>45</v>
      </c>
      <c r="C28" s="55" t="s">
        <v>44</v>
      </c>
      <c r="D28" s="55" t="s">
        <v>89</v>
      </c>
      <c r="E28" s="55" t="s">
        <v>90</v>
      </c>
      <c r="F28" s="55" t="s">
        <v>91</v>
      </c>
      <c r="G28" s="55" t="s">
        <v>51</v>
      </c>
    </row>
    <row r="29" spans="1:7" ht="21.95" customHeight="1" x14ac:dyDescent="0.25">
      <c r="A29" s="70"/>
      <c r="B29" s="71"/>
      <c r="C29" s="72"/>
      <c r="D29" s="71"/>
      <c r="E29" s="71"/>
      <c r="F29" s="71"/>
      <c r="G29" s="70"/>
    </row>
    <row r="30" spans="1:7" ht="21.95" customHeight="1" x14ac:dyDescent="0.25">
      <c r="A30" s="70"/>
      <c r="B30" s="71"/>
      <c r="C30" s="72"/>
      <c r="D30" s="71"/>
      <c r="E30" s="71"/>
      <c r="F30" s="71"/>
      <c r="G30" s="70"/>
    </row>
    <row r="31" spans="1:7" ht="21.95" customHeight="1" x14ac:dyDescent="0.25">
      <c r="A31" s="70"/>
      <c r="B31" s="71"/>
      <c r="C31" s="72"/>
      <c r="D31" s="71"/>
      <c r="E31" s="71"/>
      <c r="F31" s="71"/>
      <c r="G31" s="70"/>
    </row>
    <row r="32" spans="1:7" ht="21.95" customHeight="1" x14ac:dyDescent="0.25">
      <c r="A32" s="70"/>
      <c r="B32" s="71"/>
      <c r="C32" s="72"/>
      <c r="D32" s="71"/>
      <c r="E32" s="71"/>
      <c r="F32" s="71"/>
      <c r="G32" s="70"/>
    </row>
    <row r="33" spans="1:7" ht="21.95" customHeight="1" x14ac:dyDescent="0.25">
      <c r="A33" s="70"/>
      <c r="B33" s="71"/>
      <c r="C33" s="72"/>
      <c r="D33" s="71"/>
      <c r="E33" s="71"/>
      <c r="F33" s="71"/>
      <c r="G33" s="70"/>
    </row>
    <row r="34" spans="1:7" ht="21.95" customHeight="1" x14ac:dyDescent="0.25">
      <c r="A34" s="70"/>
      <c r="B34" s="71"/>
      <c r="C34" s="72"/>
      <c r="D34" s="71"/>
      <c r="E34" s="71"/>
      <c r="F34" s="71"/>
      <c r="G34" s="70"/>
    </row>
    <row r="35" spans="1:7" ht="21.95" customHeight="1" x14ac:dyDescent="0.25">
      <c r="A35" s="70"/>
      <c r="B35" s="71"/>
      <c r="C35" s="72"/>
      <c r="D35" s="71"/>
      <c r="E35" s="71"/>
      <c r="F35" s="71"/>
      <c r="G35" s="70"/>
    </row>
    <row r="36" spans="1:7" ht="21.95" customHeight="1" x14ac:dyDescent="0.25">
      <c r="A36" s="70"/>
      <c r="B36" s="71"/>
      <c r="C36" s="72"/>
      <c r="D36" s="71"/>
      <c r="E36" s="71"/>
      <c r="F36" s="71"/>
      <c r="G36" s="70"/>
    </row>
    <row r="37" spans="1:7" ht="21.95" customHeight="1" x14ac:dyDescent="0.25">
      <c r="A37" s="70"/>
      <c r="B37" s="71"/>
      <c r="C37" s="72"/>
      <c r="D37" s="71"/>
      <c r="E37" s="71"/>
      <c r="F37" s="71"/>
      <c r="G37" s="70"/>
    </row>
    <row r="38" spans="1:7" ht="21.95" customHeight="1" x14ac:dyDescent="0.25">
      <c r="A38" s="70"/>
      <c r="B38" s="71"/>
      <c r="C38" s="72"/>
      <c r="D38" s="71"/>
      <c r="E38" s="71"/>
      <c r="F38" s="71"/>
      <c r="G38" s="70"/>
    </row>
    <row r="39" spans="1:7" ht="21.95" customHeight="1" x14ac:dyDescent="0.25">
      <c r="A39" s="70"/>
      <c r="B39" s="71"/>
      <c r="C39" s="72"/>
      <c r="D39" s="71"/>
      <c r="E39" s="71"/>
      <c r="F39" s="71"/>
      <c r="G39" s="70"/>
    </row>
    <row r="40" spans="1:7" ht="21.95" customHeight="1" x14ac:dyDescent="0.25">
      <c r="A40" s="70"/>
      <c r="B40" s="71"/>
      <c r="C40" s="72"/>
      <c r="D40" s="71"/>
      <c r="E40" s="71"/>
      <c r="F40" s="71"/>
      <c r="G40" s="70"/>
    </row>
    <row r="41" spans="1:7" ht="21.95" customHeight="1" x14ac:dyDescent="0.25">
      <c r="A41" s="70"/>
      <c r="B41" s="71"/>
      <c r="C41" s="72"/>
      <c r="D41" s="71"/>
      <c r="E41" s="71"/>
      <c r="F41" s="71"/>
      <c r="G41" s="70"/>
    </row>
    <row r="42" spans="1:7" ht="21.95" customHeight="1" x14ac:dyDescent="0.25">
      <c r="A42" s="70"/>
      <c r="B42" s="71"/>
      <c r="C42" s="72"/>
      <c r="D42" s="71"/>
      <c r="E42" s="71"/>
      <c r="F42" s="71"/>
      <c r="G42" s="70"/>
    </row>
    <row r="43" spans="1:7" ht="21.95" customHeight="1" x14ac:dyDescent="0.25">
      <c r="A43" s="70"/>
      <c r="B43" s="71"/>
      <c r="C43" s="72"/>
      <c r="D43" s="71"/>
      <c r="E43" s="71"/>
      <c r="F43" s="71"/>
      <c r="G43" s="70"/>
    </row>
    <row r="44" spans="1:7" ht="21.95" customHeight="1" x14ac:dyDescent="0.25">
      <c r="A44" s="70"/>
      <c r="B44" s="71"/>
      <c r="C44" s="72"/>
      <c r="D44" s="71"/>
      <c r="E44" s="71"/>
      <c r="F44" s="71"/>
      <c r="G44" s="70"/>
    </row>
    <row r="45" spans="1:7" ht="21.95" customHeight="1" x14ac:dyDescent="0.25">
      <c r="A45" s="70"/>
      <c r="B45" s="71"/>
      <c r="C45" s="72"/>
      <c r="D45" s="71"/>
      <c r="E45" s="71"/>
      <c r="F45" s="71"/>
      <c r="G45" s="70"/>
    </row>
    <row r="46" spans="1:7" ht="21.95" customHeight="1" x14ac:dyDescent="0.25">
      <c r="A46" s="70"/>
      <c r="B46" s="71"/>
      <c r="C46" s="72"/>
      <c r="D46" s="71"/>
      <c r="E46" s="71"/>
      <c r="F46" s="71"/>
      <c r="G46" s="70"/>
    </row>
    <row r="47" spans="1:7" ht="21.95" customHeight="1" x14ac:dyDescent="0.25">
      <c r="A47" s="70"/>
      <c r="B47" s="71"/>
      <c r="C47" s="72"/>
      <c r="D47" s="71"/>
      <c r="E47" s="71"/>
      <c r="F47" s="71"/>
      <c r="G47" s="70"/>
    </row>
    <row r="48" spans="1:7" ht="21.95" customHeight="1" x14ac:dyDescent="0.25">
      <c r="A48" s="70"/>
      <c r="B48" s="71"/>
      <c r="C48" s="72"/>
      <c r="D48" s="71"/>
      <c r="E48" s="71"/>
      <c r="F48" s="71"/>
      <c r="G48" s="70"/>
    </row>
    <row r="49" spans="1:7" ht="26.1" customHeight="1" x14ac:dyDescent="0.25">
      <c r="A49" s="58" t="s">
        <v>110</v>
      </c>
      <c r="B49" s="59"/>
      <c r="C49" s="60">
        <f>SUM(C29:C48)</f>
        <v>0</v>
      </c>
      <c r="D49" s="63"/>
      <c r="E49" s="84" cm="1">
        <f t="array" ref="E49">IFERROR(SUMPRODUCT((D29:D48="Yes")*(C29:C48*1)),0)</f>
        <v>0</v>
      </c>
      <c r="F49" s="59"/>
      <c r="G49" s="63"/>
    </row>
    <row r="50" spans="1:7" ht="8.1" customHeight="1" x14ac:dyDescent="0.25"/>
    <row r="51" spans="1:7" ht="27.95" customHeight="1" x14ac:dyDescent="0.25">
      <c r="A51" s="74" t="s">
        <v>112</v>
      </c>
      <c r="B51" s="54"/>
      <c r="C51" s="54"/>
      <c r="D51" s="54"/>
      <c r="E51" s="54"/>
      <c r="F51" s="54"/>
      <c r="G51" s="54"/>
    </row>
    <row r="52" spans="1:7" ht="26.1" customHeight="1" x14ac:dyDescent="0.25">
      <c r="A52" s="55" t="s">
        <v>43</v>
      </c>
      <c r="B52" s="55" t="s">
        <v>45</v>
      </c>
      <c r="C52" s="55" t="s">
        <v>44</v>
      </c>
      <c r="D52" s="55" t="s">
        <v>89</v>
      </c>
      <c r="E52" s="55" t="s">
        <v>90</v>
      </c>
      <c r="F52" s="55" t="s">
        <v>91</v>
      </c>
      <c r="G52" s="55" t="s">
        <v>51</v>
      </c>
    </row>
    <row r="53" spans="1:7" ht="21.95" customHeight="1" x14ac:dyDescent="0.25">
      <c r="A53" s="70"/>
      <c r="B53" s="71"/>
      <c r="C53" s="72"/>
      <c r="D53" s="71"/>
      <c r="E53" s="71"/>
      <c r="F53" s="71"/>
      <c r="G53" s="70"/>
    </row>
    <row r="54" spans="1:7" ht="21.95" customHeight="1" x14ac:dyDescent="0.25">
      <c r="A54" s="70"/>
      <c r="B54" s="71"/>
      <c r="C54" s="72"/>
      <c r="D54" s="71"/>
      <c r="E54" s="71"/>
      <c r="F54" s="71"/>
      <c r="G54" s="70"/>
    </row>
    <row r="55" spans="1:7" ht="21.95" customHeight="1" x14ac:dyDescent="0.25">
      <c r="A55" s="70"/>
      <c r="B55" s="71"/>
      <c r="C55" s="72"/>
      <c r="D55" s="71"/>
      <c r="E55" s="71"/>
      <c r="F55" s="71"/>
      <c r="G55" s="70"/>
    </row>
    <row r="56" spans="1:7" ht="21.95" customHeight="1" x14ac:dyDescent="0.25">
      <c r="A56" s="70"/>
      <c r="B56" s="71"/>
      <c r="C56" s="72"/>
      <c r="D56" s="71"/>
      <c r="E56" s="71"/>
      <c r="F56" s="71"/>
      <c r="G56" s="70"/>
    </row>
    <row r="57" spans="1:7" ht="21.95" customHeight="1" x14ac:dyDescent="0.25">
      <c r="A57" s="70"/>
      <c r="B57" s="71"/>
      <c r="C57" s="72"/>
      <c r="D57" s="71"/>
      <c r="E57" s="71"/>
      <c r="F57" s="71"/>
      <c r="G57" s="70"/>
    </row>
    <row r="58" spans="1:7" ht="21.95" customHeight="1" x14ac:dyDescent="0.25">
      <c r="A58" s="70"/>
      <c r="B58" s="71"/>
      <c r="C58" s="72"/>
      <c r="D58" s="71"/>
      <c r="E58" s="71"/>
      <c r="F58" s="71"/>
      <c r="G58" s="70"/>
    </row>
    <row r="59" spans="1:7" ht="21.95" customHeight="1" x14ac:dyDescent="0.25">
      <c r="A59" s="70"/>
      <c r="B59" s="71"/>
      <c r="C59" s="72"/>
      <c r="D59" s="71"/>
      <c r="E59" s="71"/>
      <c r="F59" s="71"/>
      <c r="G59" s="70"/>
    </row>
    <row r="60" spans="1:7" ht="21.95" customHeight="1" x14ac:dyDescent="0.25">
      <c r="A60" s="70"/>
      <c r="B60" s="71"/>
      <c r="C60" s="72"/>
      <c r="D60" s="71"/>
      <c r="E60" s="71"/>
      <c r="F60" s="71"/>
      <c r="G60" s="70"/>
    </row>
    <row r="61" spans="1:7" ht="21.95" customHeight="1" x14ac:dyDescent="0.25">
      <c r="A61" s="70"/>
      <c r="B61" s="71"/>
      <c r="C61" s="72"/>
      <c r="D61" s="71"/>
      <c r="E61" s="71"/>
      <c r="F61" s="71"/>
      <c r="G61" s="70"/>
    </row>
    <row r="62" spans="1:7" ht="21.95" customHeight="1" x14ac:dyDescent="0.25">
      <c r="A62" s="70"/>
      <c r="B62" s="71"/>
      <c r="C62" s="72"/>
      <c r="D62" s="71"/>
      <c r="E62" s="71"/>
      <c r="F62" s="71"/>
      <c r="G62" s="70"/>
    </row>
    <row r="63" spans="1:7" ht="21.95" customHeight="1" x14ac:dyDescent="0.25">
      <c r="A63" s="70"/>
      <c r="B63" s="71"/>
      <c r="C63" s="72"/>
      <c r="D63" s="71"/>
      <c r="E63" s="71"/>
      <c r="F63" s="71"/>
      <c r="G63" s="70"/>
    </row>
    <row r="64" spans="1:7" ht="21.95" customHeight="1" x14ac:dyDescent="0.25">
      <c r="A64" s="70"/>
      <c r="B64" s="71"/>
      <c r="C64" s="72"/>
      <c r="D64" s="71"/>
      <c r="E64" s="71"/>
      <c r="F64" s="71"/>
      <c r="G64" s="70"/>
    </row>
    <row r="65" spans="1:7" ht="21.95" customHeight="1" x14ac:dyDescent="0.25">
      <c r="A65" s="70"/>
      <c r="B65" s="71"/>
      <c r="C65" s="72"/>
      <c r="D65" s="71"/>
      <c r="E65" s="71"/>
      <c r="F65" s="71"/>
      <c r="G65" s="70"/>
    </row>
    <row r="66" spans="1:7" ht="21.95" customHeight="1" x14ac:dyDescent="0.25">
      <c r="A66" s="70"/>
      <c r="B66" s="71"/>
      <c r="C66" s="72"/>
      <c r="D66" s="71"/>
      <c r="E66" s="71"/>
      <c r="F66" s="71"/>
      <c r="G66" s="70"/>
    </row>
    <row r="67" spans="1:7" ht="21.95" customHeight="1" x14ac:dyDescent="0.25">
      <c r="A67" s="70"/>
      <c r="B67" s="71"/>
      <c r="C67" s="72"/>
      <c r="D67" s="71"/>
      <c r="E67" s="71"/>
      <c r="F67" s="71"/>
      <c r="G67" s="70"/>
    </row>
    <row r="68" spans="1:7" ht="21.95" customHeight="1" x14ac:dyDescent="0.25">
      <c r="A68" s="70"/>
      <c r="B68" s="71"/>
      <c r="C68" s="72"/>
      <c r="D68" s="71"/>
      <c r="E68" s="71"/>
      <c r="F68" s="71"/>
      <c r="G68" s="70"/>
    </row>
    <row r="69" spans="1:7" ht="21.95" customHeight="1" x14ac:dyDescent="0.25">
      <c r="A69" s="70"/>
      <c r="B69" s="71"/>
      <c r="C69" s="72"/>
      <c r="D69" s="71"/>
      <c r="E69" s="71"/>
      <c r="F69" s="71"/>
      <c r="G69" s="70"/>
    </row>
    <row r="70" spans="1:7" ht="21.95" customHeight="1" x14ac:dyDescent="0.25">
      <c r="A70" s="70"/>
      <c r="B70" s="71"/>
      <c r="C70" s="72"/>
      <c r="D70" s="71"/>
      <c r="E70" s="71"/>
      <c r="F70" s="71"/>
      <c r="G70" s="70"/>
    </row>
    <row r="71" spans="1:7" ht="21.95" customHeight="1" x14ac:dyDescent="0.25">
      <c r="A71" s="70"/>
      <c r="B71" s="71"/>
      <c r="C71" s="72"/>
      <c r="D71" s="71"/>
      <c r="E71" s="71"/>
      <c r="F71" s="71"/>
      <c r="G71" s="70"/>
    </row>
    <row r="72" spans="1:7" ht="21.95" customHeight="1" x14ac:dyDescent="0.25">
      <c r="A72" s="70"/>
      <c r="B72" s="71"/>
      <c r="C72" s="72"/>
      <c r="D72" s="71"/>
      <c r="E72" s="71"/>
      <c r="F72" s="71"/>
      <c r="G72" s="70"/>
    </row>
    <row r="73" spans="1:7" ht="26.1" customHeight="1" x14ac:dyDescent="0.25">
      <c r="A73" s="58" t="s">
        <v>110</v>
      </c>
      <c r="B73" s="59"/>
      <c r="C73" s="60">
        <f>SUM(C53:C72)</f>
        <v>0</v>
      </c>
      <c r="D73" s="63"/>
      <c r="E73" s="84" cm="1">
        <f t="array" ref="E73">IFERROR(SUMPRODUCT((D53:D72="Yes")*(C53:C72*1)),0)</f>
        <v>0</v>
      </c>
      <c r="F73" s="59"/>
      <c r="G73" s="63"/>
    </row>
    <row r="74" spans="1:7" ht="8.1" customHeight="1" x14ac:dyDescent="0.25"/>
    <row r="75" spans="1:7" ht="27.95" customHeight="1" x14ac:dyDescent="0.25">
      <c r="A75" s="74" t="s">
        <v>113</v>
      </c>
      <c r="B75" s="54"/>
      <c r="C75" s="54"/>
      <c r="D75" s="54"/>
      <c r="E75" s="54"/>
      <c r="F75" s="54"/>
      <c r="G75" s="54"/>
    </row>
    <row r="76" spans="1:7" ht="26.1" customHeight="1" x14ac:dyDescent="0.25">
      <c r="A76" s="55" t="s">
        <v>43</v>
      </c>
      <c r="B76" s="55" t="s">
        <v>45</v>
      </c>
      <c r="C76" s="55" t="s">
        <v>44</v>
      </c>
      <c r="D76" s="55" t="s">
        <v>89</v>
      </c>
      <c r="E76" s="55" t="s">
        <v>90</v>
      </c>
      <c r="F76" s="55" t="s">
        <v>91</v>
      </c>
      <c r="G76" s="55" t="s">
        <v>51</v>
      </c>
    </row>
    <row r="77" spans="1:7" ht="21.95" customHeight="1" x14ac:dyDescent="0.25">
      <c r="A77" s="70"/>
      <c r="B77" s="71"/>
      <c r="C77" s="72"/>
      <c r="D77" s="71"/>
      <c r="E77" s="71"/>
      <c r="F77" s="71"/>
      <c r="G77" s="70"/>
    </row>
    <row r="78" spans="1:7" ht="21.95" customHeight="1" x14ac:dyDescent="0.25">
      <c r="A78" s="70"/>
      <c r="B78" s="71"/>
      <c r="C78" s="72"/>
      <c r="D78" s="71"/>
      <c r="E78" s="71"/>
      <c r="F78" s="71"/>
      <c r="G78" s="70"/>
    </row>
    <row r="79" spans="1:7" ht="21.95" customHeight="1" x14ac:dyDescent="0.25">
      <c r="A79" s="70"/>
      <c r="B79" s="71"/>
      <c r="C79" s="72"/>
      <c r="D79" s="71"/>
      <c r="E79" s="71"/>
      <c r="F79" s="71"/>
      <c r="G79" s="70"/>
    </row>
    <row r="80" spans="1:7" ht="21.95" customHeight="1" x14ac:dyDescent="0.25">
      <c r="A80" s="70"/>
      <c r="B80" s="71"/>
      <c r="C80" s="72"/>
      <c r="D80" s="71"/>
      <c r="E80" s="71"/>
      <c r="F80" s="71"/>
      <c r="G80" s="70"/>
    </row>
    <row r="81" spans="1:7" ht="21.95" customHeight="1" x14ac:dyDescent="0.25">
      <c r="A81" s="70"/>
      <c r="B81" s="71"/>
      <c r="C81" s="72"/>
      <c r="D81" s="71"/>
      <c r="E81" s="71"/>
      <c r="F81" s="71"/>
      <c r="G81" s="70"/>
    </row>
    <row r="82" spans="1:7" ht="21.95" customHeight="1" x14ac:dyDescent="0.25">
      <c r="A82" s="70"/>
      <c r="B82" s="71"/>
      <c r="C82" s="72"/>
      <c r="D82" s="71"/>
      <c r="E82" s="71"/>
      <c r="F82" s="71"/>
      <c r="G82" s="70"/>
    </row>
    <row r="83" spans="1:7" ht="21.95" customHeight="1" x14ac:dyDescent="0.25">
      <c r="A83" s="70"/>
      <c r="B83" s="71"/>
      <c r="C83" s="72"/>
      <c r="D83" s="71"/>
      <c r="E83" s="71"/>
      <c r="F83" s="71"/>
      <c r="G83" s="70"/>
    </row>
    <row r="84" spans="1:7" ht="21.95" customHeight="1" x14ac:dyDescent="0.25">
      <c r="A84" s="70"/>
      <c r="B84" s="71"/>
      <c r="C84" s="72"/>
      <c r="D84" s="71"/>
      <c r="E84" s="71"/>
      <c r="F84" s="71"/>
      <c r="G84" s="70"/>
    </row>
    <row r="85" spans="1:7" ht="21.95" customHeight="1" x14ac:dyDescent="0.25">
      <c r="A85" s="70"/>
      <c r="B85" s="71"/>
      <c r="C85" s="72"/>
      <c r="D85" s="71"/>
      <c r="E85" s="71"/>
      <c r="F85" s="71"/>
      <c r="G85" s="70"/>
    </row>
    <row r="86" spans="1:7" ht="21.95" customHeight="1" x14ac:dyDescent="0.25">
      <c r="A86" s="70"/>
      <c r="B86" s="71"/>
      <c r="C86" s="72"/>
      <c r="D86" s="71"/>
      <c r="E86" s="71"/>
      <c r="F86" s="71"/>
      <c r="G86" s="70"/>
    </row>
    <row r="87" spans="1:7" ht="21.95" customHeight="1" x14ac:dyDescent="0.25">
      <c r="A87" s="70"/>
      <c r="B87" s="71"/>
      <c r="C87" s="72"/>
      <c r="D87" s="71"/>
      <c r="E87" s="71"/>
      <c r="F87" s="71"/>
      <c r="G87" s="70"/>
    </row>
    <row r="88" spans="1:7" ht="21.95" customHeight="1" x14ac:dyDescent="0.25">
      <c r="A88" s="70"/>
      <c r="B88" s="71"/>
      <c r="C88" s="72"/>
      <c r="D88" s="71"/>
      <c r="E88" s="71"/>
      <c r="F88" s="71"/>
      <c r="G88" s="70"/>
    </row>
    <row r="89" spans="1:7" ht="21.95" customHeight="1" x14ac:dyDescent="0.25">
      <c r="A89" s="70"/>
      <c r="B89" s="71"/>
      <c r="C89" s="72"/>
      <c r="D89" s="71"/>
      <c r="E89" s="71"/>
      <c r="F89" s="71"/>
      <c r="G89" s="70"/>
    </row>
    <row r="90" spans="1:7" ht="21.95" customHeight="1" x14ac:dyDescent="0.25">
      <c r="A90" s="70"/>
      <c r="B90" s="71"/>
      <c r="C90" s="72"/>
      <c r="D90" s="71"/>
      <c r="E90" s="71"/>
      <c r="F90" s="71"/>
      <c r="G90" s="70"/>
    </row>
    <row r="91" spans="1:7" ht="21.95" customHeight="1" x14ac:dyDescent="0.25">
      <c r="A91" s="70"/>
      <c r="B91" s="71"/>
      <c r="C91" s="72"/>
      <c r="D91" s="71"/>
      <c r="E91" s="71"/>
      <c r="F91" s="71"/>
      <c r="G91" s="70"/>
    </row>
    <row r="92" spans="1:7" ht="21.95" customHeight="1" x14ac:dyDescent="0.25">
      <c r="A92" s="70"/>
      <c r="B92" s="71"/>
      <c r="C92" s="72"/>
      <c r="D92" s="71"/>
      <c r="E92" s="71"/>
      <c r="F92" s="71"/>
      <c r="G92" s="70"/>
    </row>
    <row r="93" spans="1:7" ht="21.95" customHeight="1" x14ac:dyDescent="0.25">
      <c r="A93" s="70"/>
      <c r="B93" s="71"/>
      <c r="C93" s="72"/>
      <c r="D93" s="71"/>
      <c r="E93" s="71"/>
      <c r="F93" s="71"/>
      <c r="G93" s="70"/>
    </row>
    <row r="94" spans="1:7" ht="21.95" customHeight="1" x14ac:dyDescent="0.25">
      <c r="A94" s="70"/>
      <c r="B94" s="71"/>
      <c r="C94" s="72"/>
      <c r="D94" s="71"/>
      <c r="E94" s="71"/>
      <c r="F94" s="71"/>
      <c r="G94" s="70"/>
    </row>
    <row r="95" spans="1:7" ht="21.95" customHeight="1" x14ac:dyDescent="0.25">
      <c r="A95" s="70"/>
      <c r="B95" s="71"/>
      <c r="C95" s="72"/>
      <c r="D95" s="71"/>
      <c r="E95" s="71"/>
      <c r="F95" s="71"/>
      <c r="G95" s="70"/>
    </row>
    <row r="96" spans="1:7" ht="21.95" customHeight="1" x14ac:dyDescent="0.25">
      <c r="A96" s="70"/>
      <c r="B96" s="71"/>
      <c r="C96" s="72"/>
      <c r="D96" s="71"/>
      <c r="E96" s="71"/>
      <c r="F96" s="71"/>
      <c r="G96" s="70"/>
    </row>
    <row r="97" spans="1:7" ht="26.1" customHeight="1" x14ac:dyDescent="0.25">
      <c r="A97" s="58" t="s">
        <v>110</v>
      </c>
      <c r="B97" s="59"/>
      <c r="C97" s="60">
        <f>SUM(C77:C96)</f>
        <v>0</v>
      </c>
      <c r="D97" s="63"/>
      <c r="E97" s="84" cm="1">
        <f t="array" ref="E97">IFERROR(SUMPRODUCT((D77:D96="Yes")*(C77:C96*1)),0)</f>
        <v>0</v>
      </c>
      <c r="F97" s="59"/>
      <c r="G97" s="63"/>
    </row>
    <row r="98" spans="1:7" ht="8.1" customHeight="1" x14ac:dyDescent="0.25"/>
    <row r="99" spans="1:7" ht="27.95" customHeight="1" x14ac:dyDescent="0.25">
      <c r="A99" s="74" t="s">
        <v>114</v>
      </c>
      <c r="B99" s="54"/>
      <c r="C99" s="54"/>
      <c r="D99" s="54"/>
      <c r="E99" s="54"/>
      <c r="F99" s="54"/>
      <c r="G99" s="54"/>
    </row>
    <row r="100" spans="1:7" ht="26.1" customHeight="1" x14ac:dyDescent="0.25">
      <c r="A100" s="55" t="s">
        <v>43</v>
      </c>
      <c r="B100" s="55" t="s">
        <v>45</v>
      </c>
      <c r="C100" s="55" t="s">
        <v>44</v>
      </c>
      <c r="D100" s="55" t="s">
        <v>89</v>
      </c>
      <c r="E100" s="55" t="s">
        <v>90</v>
      </c>
      <c r="F100" s="55" t="s">
        <v>91</v>
      </c>
      <c r="G100" s="55" t="s">
        <v>51</v>
      </c>
    </row>
    <row r="101" spans="1:7" ht="21.95" customHeight="1" x14ac:dyDescent="0.25">
      <c r="A101" s="70"/>
      <c r="B101" s="71"/>
      <c r="C101" s="72"/>
      <c r="D101" s="71"/>
      <c r="E101" s="71"/>
      <c r="F101" s="71"/>
      <c r="G101" s="70"/>
    </row>
    <row r="102" spans="1:7" ht="21.95" customHeight="1" x14ac:dyDescent="0.25">
      <c r="A102" s="70"/>
      <c r="B102" s="71"/>
      <c r="C102" s="72"/>
      <c r="D102" s="71"/>
      <c r="E102" s="71"/>
      <c r="F102" s="71"/>
      <c r="G102" s="70"/>
    </row>
    <row r="103" spans="1:7" ht="21.95" customHeight="1" x14ac:dyDescent="0.25">
      <c r="A103" s="70"/>
      <c r="B103" s="71"/>
      <c r="C103" s="72"/>
      <c r="D103" s="71"/>
      <c r="E103" s="71"/>
      <c r="F103" s="71"/>
      <c r="G103" s="70"/>
    </row>
    <row r="104" spans="1:7" ht="21.95" customHeight="1" x14ac:dyDescent="0.25">
      <c r="A104" s="70"/>
      <c r="B104" s="71"/>
      <c r="C104" s="72"/>
      <c r="D104" s="71"/>
      <c r="E104" s="71"/>
      <c r="F104" s="71"/>
      <c r="G104" s="70"/>
    </row>
    <row r="105" spans="1:7" ht="21.95" customHeight="1" x14ac:dyDescent="0.25">
      <c r="A105" s="70"/>
      <c r="B105" s="71"/>
      <c r="C105" s="72"/>
      <c r="D105" s="71"/>
      <c r="E105" s="71"/>
      <c r="F105" s="71"/>
      <c r="G105" s="70"/>
    </row>
    <row r="106" spans="1:7" ht="21.95" customHeight="1" x14ac:dyDescent="0.25">
      <c r="A106" s="70"/>
      <c r="B106" s="71"/>
      <c r="C106" s="72"/>
      <c r="D106" s="71"/>
      <c r="E106" s="71"/>
      <c r="F106" s="71"/>
      <c r="G106" s="70"/>
    </row>
    <row r="107" spans="1:7" ht="21.95" customHeight="1" x14ac:dyDescent="0.25">
      <c r="A107" s="70"/>
      <c r="B107" s="71"/>
      <c r="C107" s="72"/>
      <c r="D107" s="71"/>
      <c r="E107" s="71"/>
      <c r="F107" s="71"/>
      <c r="G107" s="70"/>
    </row>
    <row r="108" spans="1:7" ht="21.95" customHeight="1" x14ac:dyDescent="0.25">
      <c r="A108" s="70"/>
      <c r="B108" s="71"/>
      <c r="C108" s="72"/>
      <c r="D108" s="71"/>
      <c r="E108" s="71"/>
      <c r="F108" s="71"/>
      <c r="G108" s="70"/>
    </row>
    <row r="109" spans="1:7" ht="21.95" customHeight="1" x14ac:dyDescent="0.25">
      <c r="A109" s="70"/>
      <c r="B109" s="71"/>
      <c r="C109" s="72"/>
      <c r="D109" s="71"/>
      <c r="E109" s="71"/>
      <c r="F109" s="71"/>
      <c r="G109" s="70"/>
    </row>
    <row r="110" spans="1:7" ht="21.95" customHeight="1" x14ac:dyDescent="0.25">
      <c r="A110" s="70"/>
      <c r="B110" s="71"/>
      <c r="C110" s="72"/>
      <c r="D110" s="71"/>
      <c r="E110" s="71"/>
      <c r="F110" s="71"/>
      <c r="G110" s="70"/>
    </row>
    <row r="111" spans="1:7" ht="21.95" customHeight="1" x14ac:dyDescent="0.25">
      <c r="A111" s="70"/>
      <c r="B111" s="71"/>
      <c r="C111" s="72"/>
      <c r="D111" s="71"/>
      <c r="E111" s="71"/>
      <c r="F111" s="71"/>
      <c r="G111" s="70"/>
    </row>
    <row r="112" spans="1:7" ht="21.95" customHeight="1" x14ac:dyDescent="0.25">
      <c r="A112" s="70"/>
      <c r="B112" s="71"/>
      <c r="C112" s="72"/>
      <c r="D112" s="71"/>
      <c r="E112" s="71"/>
      <c r="F112" s="71"/>
      <c r="G112" s="70"/>
    </row>
    <row r="113" spans="1:7" ht="21.95" customHeight="1" x14ac:dyDescent="0.25">
      <c r="A113" s="70"/>
      <c r="B113" s="71"/>
      <c r="C113" s="72"/>
      <c r="D113" s="71"/>
      <c r="E113" s="71"/>
      <c r="F113" s="71"/>
      <c r="G113" s="70"/>
    </row>
    <row r="114" spans="1:7" ht="21.95" customHeight="1" x14ac:dyDescent="0.25">
      <c r="A114" s="70"/>
      <c r="B114" s="71"/>
      <c r="C114" s="72"/>
      <c r="D114" s="71"/>
      <c r="E114" s="71"/>
      <c r="F114" s="71"/>
      <c r="G114" s="70"/>
    </row>
    <row r="115" spans="1:7" ht="21.95" customHeight="1" x14ac:dyDescent="0.25">
      <c r="A115" s="70"/>
      <c r="B115" s="71"/>
      <c r="C115" s="72"/>
      <c r="D115" s="71"/>
      <c r="E115" s="71"/>
      <c r="F115" s="71"/>
      <c r="G115" s="70"/>
    </row>
    <row r="116" spans="1:7" ht="21.95" customHeight="1" x14ac:dyDescent="0.25">
      <c r="A116" s="70"/>
      <c r="B116" s="71"/>
      <c r="C116" s="72"/>
      <c r="D116" s="71"/>
      <c r="E116" s="71"/>
      <c r="F116" s="71"/>
      <c r="G116" s="70"/>
    </row>
    <row r="117" spans="1:7" ht="21.95" customHeight="1" x14ac:dyDescent="0.25">
      <c r="A117" s="70"/>
      <c r="B117" s="71"/>
      <c r="C117" s="72"/>
      <c r="D117" s="71"/>
      <c r="E117" s="71"/>
      <c r="F117" s="71"/>
      <c r="G117" s="70"/>
    </row>
    <row r="118" spans="1:7" ht="21.95" customHeight="1" x14ac:dyDescent="0.25">
      <c r="A118" s="70"/>
      <c r="B118" s="71"/>
      <c r="C118" s="72"/>
      <c r="D118" s="71"/>
      <c r="E118" s="71"/>
      <c r="F118" s="71"/>
      <c r="G118" s="70"/>
    </row>
    <row r="119" spans="1:7" ht="21.95" customHeight="1" x14ac:dyDescent="0.25">
      <c r="A119" s="70"/>
      <c r="B119" s="71"/>
      <c r="C119" s="72"/>
      <c r="D119" s="71"/>
      <c r="E119" s="71"/>
      <c r="F119" s="71"/>
      <c r="G119" s="70"/>
    </row>
    <row r="120" spans="1:7" ht="21.95" customHeight="1" x14ac:dyDescent="0.25">
      <c r="A120" s="70"/>
      <c r="B120" s="71"/>
      <c r="C120" s="72"/>
      <c r="D120" s="71"/>
      <c r="E120" s="71"/>
      <c r="F120" s="71"/>
      <c r="G120" s="70"/>
    </row>
    <row r="121" spans="1:7" ht="26.1" customHeight="1" x14ac:dyDescent="0.25">
      <c r="A121" s="58" t="s">
        <v>110</v>
      </c>
      <c r="B121" s="59"/>
      <c r="C121" s="60">
        <f>SUM(C101:C120)</f>
        <v>0</v>
      </c>
      <c r="D121" s="63"/>
      <c r="E121" s="84" cm="1">
        <f t="array" ref="E121">IFERROR(SUMPRODUCT((D101:D120="Yes")*(C101:C120*1)),0)</f>
        <v>0</v>
      </c>
      <c r="F121" s="59"/>
      <c r="G121" s="63"/>
    </row>
    <row r="122" spans="1:7" ht="8.1" customHeight="1" x14ac:dyDescent="0.25"/>
    <row r="123" spans="1:7" ht="27.95" customHeight="1" x14ac:dyDescent="0.25">
      <c r="A123" s="74" t="s">
        <v>115</v>
      </c>
      <c r="B123" s="54"/>
      <c r="C123" s="54"/>
      <c r="D123" s="54"/>
      <c r="E123" s="54"/>
      <c r="F123" s="54"/>
      <c r="G123" s="54"/>
    </row>
    <row r="124" spans="1:7" ht="26.1" customHeight="1" x14ac:dyDescent="0.25">
      <c r="A124" s="55" t="s">
        <v>43</v>
      </c>
      <c r="B124" s="55" t="s">
        <v>45</v>
      </c>
      <c r="C124" s="55" t="s">
        <v>44</v>
      </c>
      <c r="D124" s="55" t="s">
        <v>89</v>
      </c>
      <c r="E124" s="55" t="s">
        <v>90</v>
      </c>
      <c r="F124" s="55" t="s">
        <v>91</v>
      </c>
      <c r="G124" s="55" t="s">
        <v>51</v>
      </c>
    </row>
    <row r="125" spans="1:7" ht="21.95" customHeight="1" x14ac:dyDescent="0.25">
      <c r="A125" s="70"/>
      <c r="B125" s="71"/>
      <c r="C125" s="72"/>
      <c r="D125" s="71"/>
      <c r="E125" s="71"/>
      <c r="F125" s="71"/>
      <c r="G125" s="70"/>
    </row>
    <row r="126" spans="1:7" ht="21.95" customHeight="1" x14ac:dyDescent="0.25">
      <c r="A126" s="70"/>
      <c r="B126" s="71"/>
      <c r="C126" s="72"/>
      <c r="D126" s="71"/>
      <c r="E126" s="71"/>
      <c r="F126" s="71"/>
      <c r="G126" s="70"/>
    </row>
    <row r="127" spans="1:7" ht="21.95" customHeight="1" x14ac:dyDescent="0.25">
      <c r="A127" s="70"/>
      <c r="B127" s="71"/>
      <c r="C127" s="72"/>
      <c r="D127" s="71"/>
      <c r="E127" s="71"/>
      <c r="F127" s="71"/>
      <c r="G127" s="70"/>
    </row>
    <row r="128" spans="1:7" ht="21.95" customHeight="1" x14ac:dyDescent="0.25">
      <c r="A128" s="70"/>
      <c r="B128" s="71"/>
      <c r="C128" s="72"/>
      <c r="D128" s="71"/>
      <c r="E128" s="71"/>
      <c r="F128" s="71"/>
      <c r="G128" s="70"/>
    </row>
    <row r="129" spans="1:7" ht="21.95" customHeight="1" x14ac:dyDescent="0.25">
      <c r="A129" s="70"/>
      <c r="B129" s="71"/>
      <c r="C129" s="72"/>
      <c r="D129" s="71"/>
      <c r="E129" s="71"/>
      <c r="F129" s="71"/>
      <c r="G129" s="70"/>
    </row>
    <row r="130" spans="1:7" ht="21.95" customHeight="1" x14ac:dyDescent="0.25">
      <c r="A130" s="70"/>
      <c r="B130" s="71"/>
      <c r="C130" s="72"/>
      <c r="D130" s="71"/>
      <c r="E130" s="71"/>
      <c r="F130" s="71"/>
      <c r="G130" s="70"/>
    </row>
    <row r="131" spans="1:7" ht="21.95" customHeight="1" x14ac:dyDescent="0.25">
      <c r="A131" s="70"/>
      <c r="B131" s="71"/>
      <c r="C131" s="72"/>
      <c r="D131" s="71"/>
      <c r="E131" s="71"/>
      <c r="F131" s="71"/>
      <c r="G131" s="70"/>
    </row>
    <row r="132" spans="1:7" ht="21.95" customHeight="1" x14ac:dyDescent="0.25">
      <c r="A132" s="70"/>
      <c r="B132" s="71"/>
      <c r="C132" s="72"/>
      <c r="D132" s="71"/>
      <c r="E132" s="71"/>
      <c r="F132" s="71"/>
      <c r="G132" s="70"/>
    </row>
    <row r="133" spans="1:7" ht="21.95" customHeight="1" x14ac:dyDescent="0.25">
      <c r="A133" s="70"/>
      <c r="B133" s="71"/>
      <c r="C133" s="72"/>
      <c r="D133" s="71"/>
      <c r="E133" s="71"/>
      <c r="F133" s="71"/>
      <c r="G133" s="70"/>
    </row>
    <row r="134" spans="1:7" ht="21.95" customHeight="1" x14ac:dyDescent="0.25">
      <c r="A134" s="70"/>
      <c r="B134" s="71"/>
      <c r="C134" s="72"/>
      <c r="D134" s="71"/>
      <c r="E134" s="71"/>
      <c r="F134" s="71"/>
      <c r="G134" s="70"/>
    </row>
    <row r="135" spans="1:7" ht="21.95" customHeight="1" x14ac:dyDescent="0.25">
      <c r="A135" s="70"/>
      <c r="B135" s="71"/>
      <c r="C135" s="72"/>
      <c r="D135" s="71"/>
      <c r="E135" s="71"/>
      <c r="F135" s="71"/>
      <c r="G135" s="70"/>
    </row>
    <row r="136" spans="1:7" ht="21.95" customHeight="1" x14ac:dyDescent="0.25">
      <c r="A136" s="70"/>
      <c r="B136" s="71"/>
      <c r="C136" s="72"/>
      <c r="D136" s="71"/>
      <c r="E136" s="71"/>
      <c r="F136" s="71"/>
      <c r="G136" s="70"/>
    </row>
    <row r="137" spans="1:7" ht="21.95" customHeight="1" x14ac:dyDescent="0.25">
      <c r="A137" s="70"/>
      <c r="B137" s="71"/>
      <c r="C137" s="72"/>
      <c r="D137" s="71"/>
      <c r="E137" s="71"/>
      <c r="F137" s="71"/>
      <c r="G137" s="70"/>
    </row>
    <row r="138" spans="1:7" ht="21.95" customHeight="1" x14ac:dyDescent="0.25">
      <c r="A138" s="70"/>
      <c r="B138" s="71"/>
      <c r="C138" s="72"/>
      <c r="D138" s="71"/>
      <c r="E138" s="71"/>
      <c r="F138" s="71"/>
      <c r="G138" s="70"/>
    </row>
    <row r="139" spans="1:7" ht="21.95" customHeight="1" x14ac:dyDescent="0.25">
      <c r="A139" s="70"/>
      <c r="B139" s="71"/>
      <c r="C139" s="72"/>
      <c r="D139" s="71"/>
      <c r="E139" s="71"/>
      <c r="F139" s="71"/>
      <c r="G139" s="70"/>
    </row>
    <row r="140" spans="1:7" ht="21.95" customHeight="1" x14ac:dyDescent="0.25">
      <c r="A140" s="70"/>
      <c r="B140" s="71"/>
      <c r="C140" s="72"/>
      <c r="D140" s="71"/>
      <c r="E140" s="71"/>
      <c r="F140" s="71"/>
      <c r="G140" s="70"/>
    </row>
    <row r="141" spans="1:7" ht="21.95" customHeight="1" x14ac:dyDescent="0.25">
      <c r="A141" s="70"/>
      <c r="B141" s="71"/>
      <c r="C141" s="72"/>
      <c r="D141" s="71"/>
      <c r="E141" s="71"/>
      <c r="F141" s="71"/>
      <c r="G141" s="70"/>
    </row>
    <row r="142" spans="1:7" ht="21.95" customHeight="1" x14ac:dyDescent="0.25">
      <c r="A142" s="70"/>
      <c r="B142" s="71"/>
      <c r="C142" s="72"/>
      <c r="D142" s="71"/>
      <c r="E142" s="71"/>
      <c r="F142" s="71"/>
      <c r="G142" s="70"/>
    </row>
    <row r="143" spans="1:7" ht="21.95" customHeight="1" x14ac:dyDescent="0.25">
      <c r="A143" s="70"/>
      <c r="B143" s="71"/>
      <c r="C143" s="72"/>
      <c r="D143" s="71"/>
      <c r="E143" s="71"/>
      <c r="F143" s="71"/>
      <c r="G143" s="70"/>
    </row>
    <row r="144" spans="1:7" ht="21.95" customHeight="1" x14ac:dyDescent="0.25">
      <c r="A144" s="70"/>
      <c r="B144" s="71"/>
      <c r="C144" s="72"/>
      <c r="D144" s="71"/>
      <c r="E144" s="71"/>
      <c r="F144" s="71"/>
      <c r="G144" s="70"/>
    </row>
    <row r="145" spans="1:7" ht="26.1" customHeight="1" x14ac:dyDescent="0.25">
      <c r="A145" s="58" t="s">
        <v>110</v>
      </c>
      <c r="B145" s="59"/>
      <c r="C145" s="60">
        <f>SUM(C125:C144)</f>
        <v>0</v>
      </c>
      <c r="D145" s="63"/>
      <c r="E145" s="84" cm="1">
        <f t="array" ref="E145">IFERROR(SUMPRODUCT((D125:D144="Yes")*(C125:C144*1)),0)</f>
        <v>0</v>
      </c>
      <c r="F145" s="59"/>
      <c r="G145" s="63"/>
    </row>
    <row r="146" spans="1:7" ht="8.1" customHeight="1" x14ac:dyDescent="0.25"/>
    <row r="147" spans="1:7" ht="27.95" customHeight="1" x14ac:dyDescent="0.25">
      <c r="A147" s="74" t="s">
        <v>116</v>
      </c>
      <c r="B147" s="54"/>
      <c r="C147" s="54"/>
      <c r="D147" s="54"/>
      <c r="E147" s="54"/>
      <c r="F147" s="54"/>
      <c r="G147" s="54"/>
    </row>
    <row r="148" spans="1:7" ht="26.1" customHeight="1" x14ac:dyDescent="0.25">
      <c r="A148" s="55" t="s">
        <v>43</v>
      </c>
      <c r="B148" s="55" t="s">
        <v>45</v>
      </c>
      <c r="C148" s="55" t="s">
        <v>44</v>
      </c>
      <c r="D148" s="55" t="s">
        <v>89</v>
      </c>
      <c r="E148" s="55" t="s">
        <v>90</v>
      </c>
      <c r="F148" s="55" t="s">
        <v>91</v>
      </c>
      <c r="G148" s="55" t="s">
        <v>51</v>
      </c>
    </row>
    <row r="149" spans="1:7" ht="21.95" customHeight="1" x14ac:dyDescent="0.25">
      <c r="A149" s="70"/>
      <c r="B149" s="71"/>
      <c r="C149" s="72"/>
      <c r="D149" s="71"/>
      <c r="E149" s="71"/>
      <c r="F149" s="71"/>
      <c r="G149" s="70"/>
    </row>
    <row r="150" spans="1:7" ht="21.95" customHeight="1" x14ac:dyDescent="0.25">
      <c r="A150" s="70"/>
      <c r="B150" s="71"/>
      <c r="C150" s="72"/>
      <c r="D150" s="71"/>
      <c r="E150" s="71"/>
      <c r="F150" s="71"/>
      <c r="G150" s="70"/>
    </row>
    <row r="151" spans="1:7" ht="21.95" customHeight="1" x14ac:dyDescent="0.25">
      <c r="A151" s="70"/>
      <c r="B151" s="71"/>
      <c r="C151" s="72"/>
      <c r="D151" s="71"/>
      <c r="E151" s="71"/>
      <c r="F151" s="71"/>
      <c r="G151" s="70"/>
    </row>
    <row r="152" spans="1:7" ht="21.95" customHeight="1" x14ac:dyDescent="0.25">
      <c r="A152" s="70"/>
      <c r="B152" s="71"/>
      <c r="C152" s="72"/>
      <c r="D152" s="71"/>
      <c r="E152" s="71"/>
      <c r="F152" s="71"/>
      <c r="G152" s="70"/>
    </row>
    <row r="153" spans="1:7" ht="21.95" customHeight="1" x14ac:dyDescent="0.25">
      <c r="A153" s="70"/>
      <c r="B153" s="71"/>
      <c r="C153" s="72"/>
      <c r="D153" s="71"/>
      <c r="E153" s="71"/>
      <c r="F153" s="71"/>
      <c r="G153" s="70"/>
    </row>
    <row r="154" spans="1:7" ht="21.95" customHeight="1" x14ac:dyDescent="0.25">
      <c r="A154" s="70"/>
      <c r="B154" s="71"/>
      <c r="C154" s="72"/>
      <c r="D154" s="71"/>
      <c r="E154" s="71"/>
      <c r="F154" s="71"/>
      <c r="G154" s="70"/>
    </row>
    <row r="155" spans="1:7" ht="21.95" customHeight="1" x14ac:dyDescent="0.25">
      <c r="A155" s="70"/>
      <c r="B155" s="71"/>
      <c r="C155" s="72"/>
      <c r="D155" s="71"/>
      <c r="E155" s="71"/>
      <c r="F155" s="71"/>
      <c r="G155" s="70"/>
    </row>
    <row r="156" spans="1:7" ht="21.95" customHeight="1" x14ac:dyDescent="0.25">
      <c r="A156" s="70"/>
      <c r="B156" s="71"/>
      <c r="C156" s="72"/>
      <c r="D156" s="71"/>
      <c r="E156" s="71"/>
      <c r="F156" s="71"/>
      <c r="G156" s="70"/>
    </row>
    <row r="157" spans="1:7" ht="21.95" customHeight="1" x14ac:dyDescent="0.25">
      <c r="A157" s="70"/>
      <c r="B157" s="71"/>
      <c r="C157" s="72"/>
      <c r="D157" s="71"/>
      <c r="E157" s="71"/>
      <c r="F157" s="71"/>
      <c r="G157" s="70"/>
    </row>
    <row r="158" spans="1:7" ht="21.95" customHeight="1" x14ac:dyDescent="0.25">
      <c r="A158" s="70"/>
      <c r="B158" s="71"/>
      <c r="C158" s="72"/>
      <c r="D158" s="71"/>
      <c r="E158" s="71"/>
      <c r="F158" s="71"/>
      <c r="G158" s="70"/>
    </row>
    <row r="159" spans="1:7" ht="21.95" customHeight="1" x14ac:dyDescent="0.25">
      <c r="A159" s="70"/>
      <c r="B159" s="71"/>
      <c r="C159" s="72"/>
      <c r="D159" s="71"/>
      <c r="E159" s="71"/>
      <c r="F159" s="71"/>
      <c r="G159" s="70"/>
    </row>
    <row r="160" spans="1:7" ht="21.95" customHeight="1" x14ac:dyDescent="0.25">
      <c r="A160" s="70"/>
      <c r="B160" s="71"/>
      <c r="C160" s="72"/>
      <c r="D160" s="71"/>
      <c r="E160" s="71"/>
      <c r="F160" s="71"/>
      <c r="G160" s="70"/>
    </row>
    <row r="161" spans="1:7" ht="21.95" customHeight="1" x14ac:dyDescent="0.25">
      <c r="A161" s="70"/>
      <c r="B161" s="71"/>
      <c r="C161" s="72"/>
      <c r="D161" s="71"/>
      <c r="E161" s="71"/>
      <c r="F161" s="71"/>
      <c r="G161" s="70"/>
    </row>
    <row r="162" spans="1:7" ht="21.95" customHeight="1" x14ac:dyDescent="0.25">
      <c r="A162" s="70"/>
      <c r="B162" s="71"/>
      <c r="C162" s="72"/>
      <c r="D162" s="71"/>
      <c r="E162" s="71"/>
      <c r="F162" s="71"/>
      <c r="G162" s="70"/>
    </row>
    <row r="163" spans="1:7" ht="21.95" customHeight="1" x14ac:dyDescent="0.25">
      <c r="A163" s="70"/>
      <c r="B163" s="71"/>
      <c r="C163" s="72"/>
      <c r="D163" s="71"/>
      <c r="E163" s="71"/>
      <c r="F163" s="71"/>
      <c r="G163" s="70"/>
    </row>
    <row r="164" spans="1:7" ht="21.95" customHeight="1" x14ac:dyDescent="0.25">
      <c r="A164" s="70"/>
      <c r="B164" s="71"/>
      <c r="C164" s="72"/>
      <c r="D164" s="71"/>
      <c r="E164" s="71"/>
      <c r="F164" s="71"/>
      <c r="G164" s="70"/>
    </row>
    <row r="165" spans="1:7" ht="21.95" customHeight="1" x14ac:dyDescent="0.25">
      <c r="A165" s="70"/>
      <c r="B165" s="71"/>
      <c r="C165" s="72"/>
      <c r="D165" s="71"/>
      <c r="E165" s="71"/>
      <c r="F165" s="71"/>
      <c r="G165" s="70"/>
    </row>
    <row r="166" spans="1:7" ht="21.95" customHeight="1" x14ac:dyDescent="0.25">
      <c r="A166" s="70"/>
      <c r="B166" s="71"/>
      <c r="C166" s="72"/>
      <c r="D166" s="71"/>
      <c r="E166" s="71"/>
      <c r="F166" s="71"/>
      <c r="G166" s="70"/>
    </row>
    <row r="167" spans="1:7" ht="21.95" customHeight="1" x14ac:dyDescent="0.25">
      <c r="A167" s="70"/>
      <c r="B167" s="71"/>
      <c r="C167" s="72"/>
      <c r="D167" s="71"/>
      <c r="E167" s="71"/>
      <c r="F167" s="71"/>
      <c r="G167" s="70"/>
    </row>
    <row r="168" spans="1:7" ht="21.95" customHeight="1" x14ac:dyDescent="0.25">
      <c r="A168" s="70"/>
      <c r="B168" s="71"/>
      <c r="C168" s="72"/>
      <c r="D168" s="71"/>
      <c r="E168" s="71"/>
      <c r="F168" s="71"/>
      <c r="G168" s="70"/>
    </row>
    <row r="169" spans="1:7" ht="26.1" customHeight="1" x14ac:dyDescent="0.25">
      <c r="A169" s="58" t="s">
        <v>110</v>
      </c>
      <c r="B169" s="59"/>
      <c r="C169" s="60">
        <f>SUM(C149:C168)</f>
        <v>0</v>
      </c>
      <c r="D169" s="63"/>
      <c r="E169" s="84" cm="1">
        <f t="array" ref="E169">IFERROR(SUMPRODUCT((D149:D168="Yes")*(C149:C168*1)),0)</f>
        <v>0</v>
      </c>
      <c r="F169" s="59"/>
      <c r="G169" s="63"/>
    </row>
    <row r="170" spans="1:7" ht="8.1" customHeight="1" x14ac:dyDescent="0.25"/>
    <row r="171" spans="1:7" ht="27.95" customHeight="1" x14ac:dyDescent="0.25">
      <c r="A171" s="74" t="s">
        <v>117</v>
      </c>
      <c r="B171" s="54"/>
      <c r="C171" s="54"/>
      <c r="D171" s="54"/>
      <c r="E171" s="54"/>
      <c r="F171" s="54"/>
      <c r="G171" s="54"/>
    </row>
    <row r="172" spans="1:7" ht="26.1" customHeight="1" x14ac:dyDescent="0.25">
      <c r="A172" s="55" t="s">
        <v>43</v>
      </c>
      <c r="B172" s="55" t="s">
        <v>45</v>
      </c>
      <c r="C172" s="55" t="s">
        <v>44</v>
      </c>
      <c r="D172" s="55" t="s">
        <v>89</v>
      </c>
      <c r="E172" s="55" t="s">
        <v>90</v>
      </c>
      <c r="F172" s="55" t="s">
        <v>91</v>
      </c>
      <c r="G172" s="55" t="s">
        <v>51</v>
      </c>
    </row>
    <row r="173" spans="1:7" ht="21.95" customHeight="1" x14ac:dyDescent="0.25">
      <c r="A173" s="70"/>
      <c r="B173" s="71"/>
      <c r="C173" s="72"/>
      <c r="D173" s="71"/>
      <c r="E173" s="71"/>
      <c r="F173" s="71"/>
      <c r="G173" s="70"/>
    </row>
    <row r="174" spans="1:7" ht="21.95" customHeight="1" x14ac:dyDescent="0.25">
      <c r="A174" s="70"/>
      <c r="B174" s="71"/>
      <c r="C174" s="72"/>
      <c r="D174" s="71"/>
      <c r="E174" s="71"/>
      <c r="F174" s="71"/>
      <c r="G174" s="70"/>
    </row>
    <row r="175" spans="1:7" ht="21.95" customHeight="1" x14ac:dyDescent="0.25">
      <c r="A175" s="70"/>
      <c r="B175" s="71"/>
      <c r="C175" s="72"/>
      <c r="D175" s="71"/>
      <c r="E175" s="71"/>
      <c r="F175" s="71"/>
      <c r="G175" s="70"/>
    </row>
    <row r="176" spans="1:7" ht="21.95" customHeight="1" x14ac:dyDescent="0.25">
      <c r="A176" s="70"/>
      <c r="B176" s="71"/>
      <c r="C176" s="72"/>
      <c r="D176" s="71"/>
      <c r="E176" s="71"/>
      <c r="F176" s="71"/>
      <c r="G176" s="70"/>
    </row>
    <row r="177" spans="1:7" ht="21.95" customHeight="1" x14ac:dyDescent="0.25">
      <c r="A177" s="70"/>
      <c r="B177" s="71"/>
      <c r="C177" s="72"/>
      <c r="D177" s="71"/>
      <c r="E177" s="71"/>
      <c r="F177" s="71"/>
      <c r="G177" s="70"/>
    </row>
    <row r="178" spans="1:7" ht="21.95" customHeight="1" x14ac:dyDescent="0.25">
      <c r="A178" s="70"/>
      <c r="B178" s="71"/>
      <c r="C178" s="72"/>
      <c r="D178" s="71"/>
      <c r="E178" s="71"/>
      <c r="F178" s="71"/>
      <c r="G178" s="70"/>
    </row>
    <row r="179" spans="1:7" ht="21.95" customHeight="1" x14ac:dyDescent="0.25">
      <c r="A179" s="70"/>
      <c r="B179" s="71"/>
      <c r="C179" s="72"/>
      <c r="D179" s="71"/>
      <c r="E179" s="71"/>
      <c r="F179" s="71"/>
      <c r="G179" s="70"/>
    </row>
    <row r="180" spans="1:7" ht="21.95" customHeight="1" x14ac:dyDescent="0.25">
      <c r="A180" s="70"/>
      <c r="B180" s="71"/>
      <c r="C180" s="72"/>
      <c r="D180" s="71"/>
      <c r="E180" s="71"/>
      <c r="F180" s="71"/>
      <c r="G180" s="70"/>
    </row>
    <row r="181" spans="1:7" ht="21.95" customHeight="1" x14ac:dyDescent="0.25">
      <c r="A181" s="70"/>
      <c r="B181" s="71"/>
      <c r="C181" s="72"/>
      <c r="D181" s="71"/>
      <c r="E181" s="71"/>
      <c r="F181" s="71"/>
      <c r="G181" s="70"/>
    </row>
    <row r="182" spans="1:7" ht="21.95" customHeight="1" x14ac:dyDescent="0.25">
      <c r="A182" s="70"/>
      <c r="B182" s="71"/>
      <c r="C182" s="72"/>
      <c r="D182" s="71"/>
      <c r="E182" s="71"/>
      <c r="F182" s="71"/>
      <c r="G182" s="70"/>
    </row>
    <row r="183" spans="1:7" ht="21.95" customHeight="1" x14ac:dyDescent="0.25">
      <c r="A183" s="70"/>
      <c r="B183" s="71"/>
      <c r="C183" s="72"/>
      <c r="D183" s="71"/>
      <c r="E183" s="71"/>
      <c r="F183" s="71"/>
      <c r="G183" s="70"/>
    </row>
    <row r="184" spans="1:7" ht="21.95" customHeight="1" x14ac:dyDescent="0.25">
      <c r="A184" s="70"/>
      <c r="B184" s="71"/>
      <c r="C184" s="72"/>
      <c r="D184" s="71"/>
      <c r="E184" s="71"/>
      <c r="F184" s="71"/>
      <c r="G184" s="70"/>
    </row>
    <row r="185" spans="1:7" ht="21.95" customHeight="1" x14ac:dyDescent="0.25">
      <c r="A185" s="70"/>
      <c r="B185" s="71"/>
      <c r="C185" s="72"/>
      <c r="D185" s="71"/>
      <c r="E185" s="71"/>
      <c r="F185" s="71"/>
      <c r="G185" s="70"/>
    </row>
    <row r="186" spans="1:7" ht="21.95" customHeight="1" x14ac:dyDescent="0.25">
      <c r="A186" s="70"/>
      <c r="B186" s="71"/>
      <c r="C186" s="72"/>
      <c r="D186" s="71"/>
      <c r="E186" s="71"/>
      <c r="F186" s="71"/>
      <c r="G186" s="70"/>
    </row>
    <row r="187" spans="1:7" ht="21.95" customHeight="1" x14ac:dyDescent="0.25">
      <c r="A187" s="70"/>
      <c r="B187" s="71"/>
      <c r="C187" s="72"/>
      <c r="D187" s="71"/>
      <c r="E187" s="71"/>
      <c r="F187" s="71"/>
      <c r="G187" s="70"/>
    </row>
    <row r="188" spans="1:7" ht="21.95" customHeight="1" x14ac:dyDescent="0.25">
      <c r="A188" s="70"/>
      <c r="B188" s="71"/>
      <c r="C188" s="72"/>
      <c r="D188" s="71"/>
      <c r="E188" s="71"/>
      <c r="F188" s="71"/>
      <c r="G188" s="70"/>
    </row>
    <row r="189" spans="1:7" ht="21.95" customHeight="1" x14ac:dyDescent="0.25">
      <c r="A189" s="70"/>
      <c r="B189" s="71"/>
      <c r="C189" s="72"/>
      <c r="D189" s="71"/>
      <c r="E189" s="71"/>
      <c r="F189" s="71"/>
      <c r="G189" s="70"/>
    </row>
    <row r="190" spans="1:7" ht="21.95" customHeight="1" x14ac:dyDescent="0.25">
      <c r="A190" s="70"/>
      <c r="B190" s="71"/>
      <c r="C190" s="72"/>
      <c r="D190" s="71"/>
      <c r="E190" s="71"/>
      <c r="F190" s="71"/>
      <c r="G190" s="70"/>
    </row>
    <row r="191" spans="1:7" ht="21.95" customHeight="1" x14ac:dyDescent="0.25">
      <c r="A191" s="70"/>
      <c r="B191" s="71"/>
      <c r="C191" s="72"/>
      <c r="D191" s="71"/>
      <c r="E191" s="71"/>
      <c r="F191" s="71"/>
      <c r="G191" s="70"/>
    </row>
    <row r="192" spans="1:7" ht="21.95" customHeight="1" x14ac:dyDescent="0.25">
      <c r="A192" s="70"/>
      <c r="B192" s="71"/>
      <c r="C192" s="72"/>
      <c r="D192" s="71"/>
      <c r="E192" s="71"/>
      <c r="F192" s="71"/>
      <c r="G192" s="70"/>
    </row>
    <row r="193" spans="1:7" ht="26.1" customHeight="1" x14ac:dyDescent="0.25">
      <c r="A193" s="58" t="s">
        <v>110</v>
      </c>
      <c r="B193" s="59"/>
      <c r="C193" s="60">
        <f>SUM(C173:C192)</f>
        <v>0</v>
      </c>
      <c r="D193" s="63"/>
      <c r="E193" s="84" cm="1">
        <f t="array" ref="E193">IFERROR(SUMPRODUCT((D173:D192="Yes")*(C173:C192*1)),0)</f>
        <v>0</v>
      </c>
      <c r="F193" s="59"/>
      <c r="G193" s="63"/>
    </row>
    <row r="194" spans="1:7" ht="8.1" customHeight="1" x14ac:dyDescent="0.25"/>
    <row r="195" spans="1:7" ht="27.95" customHeight="1" x14ac:dyDescent="0.25">
      <c r="A195" s="74" t="s">
        <v>118</v>
      </c>
      <c r="B195" s="54"/>
      <c r="C195" s="54"/>
      <c r="D195" s="54"/>
      <c r="E195" s="54"/>
      <c r="F195" s="54"/>
      <c r="G195" s="54"/>
    </row>
    <row r="196" spans="1:7" ht="26.1" customHeight="1" x14ac:dyDescent="0.25">
      <c r="A196" s="55" t="s">
        <v>43</v>
      </c>
      <c r="B196" s="55" t="s">
        <v>45</v>
      </c>
      <c r="C196" s="55" t="s">
        <v>44</v>
      </c>
      <c r="D196" s="55" t="s">
        <v>89</v>
      </c>
      <c r="E196" s="55" t="s">
        <v>90</v>
      </c>
      <c r="F196" s="55" t="s">
        <v>91</v>
      </c>
      <c r="G196" s="55" t="s">
        <v>51</v>
      </c>
    </row>
    <row r="197" spans="1:7" ht="21.95" customHeight="1" x14ac:dyDescent="0.25">
      <c r="A197" s="70"/>
      <c r="B197" s="71"/>
      <c r="C197" s="72"/>
      <c r="D197" s="71"/>
      <c r="E197" s="71"/>
      <c r="F197" s="71"/>
      <c r="G197" s="70"/>
    </row>
    <row r="198" spans="1:7" ht="21.95" customHeight="1" x14ac:dyDescent="0.25">
      <c r="A198" s="70"/>
      <c r="B198" s="71"/>
      <c r="C198" s="72"/>
      <c r="D198" s="71"/>
      <c r="E198" s="71"/>
      <c r="F198" s="71"/>
      <c r="G198" s="70"/>
    </row>
    <row r="199" spans="1:7" ht="21.95" customHeight="1" x14ac:dyDescent="0.25">
      <c r="A199" s="70"/>
      <c r="B199" s="71"/>
      <c r="C199" s="72"/>
      <c r="D199" s="71"/>
      <c r="E199" s="71"/>
      <c r="F199" s="71"/>
      <c r="G199" s="70"/>
    </row>
    <row r="200" spans="1:7" ht="21.95" customHeight="1" x14ac:dyDescent="0.25">
      <c r="A200" s="70"/>
      <c r="B200" s="71"/>
      <c r="C200" s="72"/>
      <c r="D200" s="71"/>
      <c r="E200" s="71"/>
      <c r="F200" s="71"/>
      <c r="G200" s="70"/>
    </row>
    <row r="201" spans="1:7" ht="21.95" customHeight="1" x14ac:dyDescent="0.25">
      <c r="A201" s="70"/>
      <c r="B201" s="71"/>
      <c r="C201" s="72"/>
      <c r="D201" s="71"/>
      <c r="E201" s="71"/>
      <c r="F201" s="71"/>
      <c r="G201" s="70"/>
    </row>
    <row r="202" spans="1:7" ht="21.95" customHeight="1" x14ac:dyDescent="0.25">
      <c r="A202" s="70"/>
      <c r="B202" s="71"/>
      <c r="C202" s="72"/>
      <c r="D202" s="71"/>
      <c r="E202" s="71"/>
      <c r="F202" s="71"/>
      <c r="G202" s="70"/>
    </row>
    <row r="203" spans="1:7" ht="21.95" customHeight="1" x14ac:dyDescent="0.25">
      <c r="A203" s="70"/>
      <c r="B203" s="71"/>
      <c r="C203" s="72"/>
      <c r="D203" s="71"/>
      <c r="E203" s="71"/>
      <c r="F203" s="71"/>
      <c r="G203" s="70"/>
    </row>
    <row r="204" spans="1:7" ht="21.95" customHeight="1" x14ac:dyDescent="0.25">
      <c r="A204" s="70"/>
      <c r="B204" s="71"/>
      <c r="C204" s="72"/>
      <c r="D204" s="71"/>
      <c r="E204" s="71"/>
      <c r="F204" s="71"/>
      <c r="G204" s="70"/>
    </row>
    <row r="205" spans="1:7" ht="21.95" customHeight="1" x14ac:dyDescent="0.25">
      <c r="A205" s="70"/>
      <c r="B205" s="71"/>
      <c r="C205" s="72"/>
      <c r="D205" s="71"/>
      <c r="E205" s="71"/>
      <c r="F205" s="71"/>
      <c r="G205" s="70"/>
    </row>
    <row r="206" spans="1:7" ht="21.95" customHeight="1" x14ac:dyDescent="0.25">
      <c r="A206" s="70"/>
      <c r="B206" s="71"/>
      <c r="C206" s="72"/>
      <c r="D206" s="71"/>
      <c r="E206" s="71"/>
      <c r="F206" s="71"/>
      <c r="G206" s="70"/>
    </row>
    <row r="207" spans="1:7" ht="21.95" customHeight="1" x14ac:dyDescent="0.25">
      <c r="A207" s="70"/>
      <c r="B207" s="71"/>
      <c r="C207" s="72"/>
      <c r="D207" s="71"/>
      <c r="E207" s="71"/>
      <c r="F207" s="71"/>
      <c r="G207" s="70"/>
    </row>
    <row r="208" spans="1:7" ht="21.95" customHeight="1" x14ac:dyDescent="0.25">
      <c r="A208" s="70"/>
      <c r="B208" s="71"/>
      <c r="C208" s="72"/>
      <c r="D208" s="71"/>
      <c r="E208" s="71"/>
      <c r="F208" s="71"/>
      <c r="G208" s="70"/>
    </row>
    <row r="209" spans="1:7" ht="21.95" customHeight="1" x14ac:dyDescent="0.25">
      <c r="A209" s="70"/>
      <c r="B209" s="71"/>
      <c r="C209" s="72"/>
      <c r="D209" s="71"/>
      <c r="E209" s="71"/>
      <c r="F209" s="71"/>
      <c r="G209" s="70"/>
    </row>
    <row r="210" spans="1:7" ht="21.95" customHeight="1" x14ac:dyDescent="0.25">
      <c r="A210" s="70"/>
      <c r="B210" s="71"/>
      <c r="C210" s="72"/>
      <c r="D210" s="71"/>
      <c r="E210" s="71"/>
      <c r="F210" s="71"/>
      <c r="G210" s="70"/>
    </row>
    <row r="211" spans="1:7" ht="21.95" customHeight="1" x14ac:dyDescent="0.25">
      <c r="A211" s="70"/>
      <c r="B211" s="71"/>
      <c r="C211" s="72"/>
      <c r="D211" s="71"/>
      <c r="E211" s="71"/>
      <c r="F211" s="71"/>
      <c r="G211" s="70"/>
    </row>
    <row r="212" spans="1:7" ht="21.95" customHeight="1" x14ac:dyDescent="0.25">
      <c r="A212" s="70"/>
      <c r="B212" s="71"/>
      <c r="C212" s="72"/>
      <c r="D212" s="71"/>
      <c r="E212" s="71"/>
      <c r="F212" s="71"/>
      <c r="G212" s="70"/>
    </row>
    <row r="213" spans="1:7" ht="21.95" customHeight="1" x14ac:dyDescent="0.25">
      <c r="A213" s="70"/>
      <c r="B213" s="71"/>
      <c r="C213" s="72"/>
      <c r="D213" s="71"/>
      <c r="E213" s="71"/>
      <c r="F213" s="71"/>
      <c r="G213" s="70"/>
    </row>
    <row r="214" spans="1:7" ht="21.95" customHeight="1" x14ac:dyDescent="0.25">
      <c r="A214" s="70"/>
      <c r="B214" s="71"/>
      <c r="C214" s="72"/>
      <c r="D214" s="71"/>
      <c r="E214" s="71"/>
      <c r="F214" s="71"/>
      <c r="G214" s="70"/>
    </row>
    <row r="215" spans="1:7" ht="21.95" customHeight="1" x14ac:dyDescent="0.25">
      <c r="A215" s="70"/>
      <c r="B215" s="71"/>
      <c r="C215" s="72"/>
      <c r="D215" s="71"/>
      <c r="E215" s="71"/>
      <c r="F215" s="71"/>
      <c r="G215" s="70"/>
    </row>
    <row r="216" spans="1:7" ht="21.95" customHeight="1" x14ac:dyDescent="0.25">
      <c r="A216" s="70"/>
      <c r="B216" s="71"/>
      <c r="C216" s="72"/>
      <c r="D216" s="71"/>
      <c r="E216" s="71"/>
      <c r="F216" s="71"/>
      <c r="G216" s="70"/>
    </row>
    <row r="217" spans="1:7" ht="26.1" customHeight="1" x14ac:dyDescent="0.25">
      <c r="A217" s="58" t="s">
        <v>110</v>
      </c>
      <c r="B217" s="59"/>
      <c r="C217" s="60">
        <f>SUM(C197:C216)</f>
        <v>0</v>
      </c>
      <c r="D217" s="63"/>
      <c r="E217" s="84" cm="1">
        <f t="array" ref="E217">IFERROR(SUMPRODUCT((D197:D216="Yes")*(C197:C216*1)),0)</f>
        <v>0</v>
      </c>
      <c r="F217" s="59"/>
      <c r="G217" s="63"/>
    </row>
    <row r="218" spans="1:7" ht="8.1" customHeight="1" x14ac:dyDescent="0.25"/>
    <row r="219" spans="1:7" ht="27.95" customHeight="1" x14ac:dyDescent="0.25">
      <c r="A219" s="74" t="s">
        <v>119</v>
      </c>
      <c r="B219" s="54"/>
      <c r="C219" s="54"/>
      <c r="D219" s="54"/>
      <c r="E219" s="54"/>
      <c r="F219" s="54"/>
      <c r="G219" s="54"/>
    </row>
    <row r="220" spans="1:7" ht="26.1" customHeight="1" x14ac:dyDescent="0.25">
      <c r="A220" s="55" t="s">
        <v>43</v>
      </c>
      <c r="B220" s="55" t="s">
        <v>45</v>
      </c>
      <c r="C220" s="55" t="s">
        <v>44</v>
      </c>
      <c r="D220" s="55" t="s">
        <v>89</v>
      </c>
      <c r="E220" s="55" t="s">
        <v>90</v>
      </c>
      <c r="F220" s="55" t="s">
        <v>91</v>
      </c>
      <c r="G220" s="55" t="s">
        <v>51</v>
      </c>
    </row>
    <row r="221" spans="1:7" ht="21.95" customHeight="1" x14ac:dyDescent="0.25">
      <c r="A221" s="70"/>
      <c r="B221" s="71"/>
      <c r="C221" s="72"/>
      <c r="D221" s="71"/>
      <c r="E221" s="71"/>
      <c r="F221" s="71"/>
      <c r="G221" s="70"/>
    </row>
    <row r="222" spans="1:7" ht="21.95" customHeight="1" x14ac:dyDescent="0.25">
      <c r="A222" s="70"/>
      <c r="B222" s="71"/>
      <c r="C222" s="72"/>
      <c r="D222" s="71"/>
      <c r="E222" s="71"/>
      <c r="F222" s="71"/>
      <c r="G222" s="70"/>
    </row>
    <row r="223" spans="1:7" ht="21.95" customHeight="1" x14ac:dyDescent="0.25">
      <c r="A223" s="70"/>
      <c r="B223" s="71"/>
      <c r="C223" s="72"/>
      <c r="D223" s="71"/>
      <c r="E223" s="71"/>
      <c r="F223" s="71"/>
      <c r="G223" s="70"/>
    </row>
    <row r="224" spans="1:7" ht="21.95" customHeight="1" x14ac:dyDescent="0.25">
      <c r="A224" s="70"/>
      <c r="B224" s="71"/>
      <c r="C224" s="72"/>
      <c r="D224" s="71"/>
      <c r="E224" s="71"/>
      <c r="F224" s="71"/>
      <c r="G224" s="70"/>
    </row>
    <row r="225" spans="1:7" ht="21.95" customHeight="1" x14ac:dyDescent="0.25">
      <c r="A225" s="70"/>
      <c r="B225" s="71"/>
      <c r="C225" s="72"/>
      <c r="D225" s="71"/>
      <c r="E225" s="71"/>
      <c r="F225" s="71"/>
      <c r="G225" s="70"/>
    </row>
    <row r="226" spans="1:7" ht="21.95" customHeight="1" x14ac:dyDescent="0.25">
      <c r="A226" s="70"/>
      <c r="B226" s="71"/>
      <c r="C226" s="72"/>
      <c r="D226" s="71"/>
      <c r="E226" s="71"/>
      <c r="F226" s="71"/>
      <c r="G226" s="70"/>
    </row>
    <row r="227" spans="1:7" ht="21.95" customHeight="1" x14ac:dyDescent="0.25">
      <c r="A227" s="70"/>
      <c r="B227" s="71"/>
      <c r="C227" s="72"/>
      <c r="D227" s="71"/>
      <c r="E227" s="71"/>
      <c r="F227" s="71"/>
      <c r="G227" s="70"/>
    </row>
    <row r="228" spans="1:7" ht="21.95" customHeight="1" x14ac:dyDescent="0.25">
      <c r="A228" s="70"/>
      <c r="B228" s="71"/>
      <c r="C228" s="72"/>
      <c r="D228" s="71"/>
      <c r="E228" s="71"/>
      <c r="F228" s="71"/>
      <c r="G228" s="70"/>
    </row>
    <row r="229" spans="1:7" ht="21.95" customHeight="1" x14ac:dyDescent="0.25">
      <c r="A229" s="70"/>
      <c r="B229" s="71"/>
      <c r="C229" s="72"/>
      <c r="D229" s="71"/>
      <c r="E229" s="71"/>
      <c r="F229" s="71"/>
      <c r="G229" s="70"/>
    </row>
    <row r="230" spans="1:7" ht="21.95" customHeight="1" x14ac:dyDescent="0.25">
      <c r="A230" s="70"/>
      <c r="B230" s="71"/>
      <c r="C230" s="72"/>
      <c r="D230" s="71"/>
      <c r="E230" s="71"/>
      <c r="F230" s="71"/>
      <c r="G230" s="70"/>
    </row>
    <row r="231" spans="1:7" ht="21.95" customHeight="1" x14ac:dyDescent="0.25">
      <c r="A231" s="70"/>
      <c r="B231" s="71"/>
      <c r="C231" s="72"/>
      <c r="D231" s="71"/>
      <c r="E231" s="71"/>
      <c r="F231" s="71"/>
      <c r="G231" s="70"/>
    </row>
    <row r="232" spans="1:7" ht="21.95" customHeight="1" x14ac:dyDescent="0.25">
      <c r="A232" s="70"/>
      <c r="B232" s="71"/>
      <c r="C232" s="72"/>
      <c r="D232" s="71"/>
      <c r="E232" s="71"/>
      <c r="F232" s="71"/>
      <c r="G232" s="70"/>
    </row>
    <row r="233" spans="1:7" ht="21.95" customHeight="1" x14ac:dyDescent="0.25">
      <c r="A233" s="70"/>
      <c r="B233" s="71"/>
      <c r="C233" s="72"/>
      <c r="D233" s="71"/>
      <c r="E233" s="71"/>
      <c r="F233" s="71"/>
      <c r="G233" s="70"/>
    </row>
    <row r="234" spans="1:7" ht="21.95" customHeight="1" x14ac:dyDescent="0.25">
      <c r="A234" s="70"/>
      <c r="B234" s="71"/>
      <c r="C234" s="72"/>
      <c r="D234" s="71"/>
      <c r="E234" s="71"/>
      <c r="F234" s="71"/>
      <c r="G234" s="70"/>
    </row>
    <row r="235" spans="1:7" ht="21.95" customHeight="1" x14ac:dyDescent="0.25">
      <c r="A235" s="70"/>
      <c r="B235" s="71"/>
      <c r="C235" s="72"/>
      <c r="D235" s="71"/>
      <c r="E235" s="71"/>
      <c r="F235" s="71"/>
      <c r="G235" s="70"/>
    </row>
    <row r="236" spans="1:7" ht="21.95" customHeight="1" x14ac:dyDescent="0.25">
      <c r="A236" s="70"/>
      <c r="B236" s="71"/>
      <c r="C236" s="72"/>
      <c r="D236" s="71"/>
      <c r="E236" s="71"/>
      <c r="F236" s="71"/>
      <c r="G236" s="70"/>
    </row>
    <row r="237" spans="1:7" ht="21.95" customHeight="1" x14ac:dyDescent="0.25">
      <c r="A237" s="70"/>
      <c r="B237" s="71"/>
      <c r="C237" s="72"/>
      <c r="D237" s="71"/>
      <c r="E237" s="71"/>
      <c r="F237" s="71"/>
      <c r="G237" s="70"/>
    </row>
    <row r="238" spans="1:7" ht="21.95" customHeight="1" x14ac:dyDescent="0.25">
      <c r="A238" s="70"/>
      <c r="B238" s="71"/>
      <c r="C238" s="72"/>
      <c r="D238" s="71"/>
      <c r="E238" s="71"/>
      <c r="F238" s="71"/>
      <c r="G238" s="70"/>
    </row>
    <row r="239" spans="1:7" ht="21.95" customHeight="1" x14ac:dyDescent="0.25">
      <c r="A239" s="70"/>
      <c r="B239" s="71"/>
      <c r="C239" s="72"/>
      <c r="D239" s="71"/>
      <c r="E239" s="71"/>
      <c r="F239" s="71"/>
      <c r="G239" s="70"/>
    </row>
    <row r="240" spans="1:7" ht="21.95" customHeight="1" x14ac:dyDescent="0.25">
      <c r="A240" s="70"/>
      <c r="B240" s="71"/>
      <c r="C240" s="72"/>
      <c r="D240" s="71"/>
      <c r="E240" s="71"/>
      <c r="F240" s="71"/>
      <c r="G240" s="70"/>
    </row>
    <row r="241" spans="1:7" ht="26.1" customHeight="1" x14ac:dyDescent="0.25">
      <c r="A241" s="58" t="s">
        <v>110</v>
      </c>
      <c r="B241" s="59"/>
      <c r="C241" s="60">
        <f>SUM(C221:C240)</f>
        <v>0</v>
      </c>
      <c r="D241" s="63"/>
      <c r="E241" s="84" cm="1">
        <f t="array" ref="E241">IFERROR(SUMPRODUCT((D221:D240="Yes")*(C221:C240*1)),0)</f>
        <v>0</v>
      </c>
      <c r="F241" s="59"/>
      <c r="G241" s="63"/>
    </row>
    <row r="242" spans="1:7" ht="8.1" customHeight="1" x14ac:dyDescent="0.25"/>
    <row r="243" spans="1:7" ht="27.95" customHeight="1" x14ac:dyDescent="0.25">
      <c r="A243" s="74" t="s">
        <v>120</v>
      </c>
      <c r="B243" s="54"/>
      <c r="C243" s="54"/>
      <c r="D243" s="54"/>
      <c r="E243" s="54"/>
      <c r="F243" s="54"/>
      <c r="G243" s="54"/>
    </row>
    <row r="244" spans="1:7" ht="26.1" customHeight="1" x14ac:dyDescent="0.25">
      <c r="A244" s="55" t="s">
        <v>43</v>
      </c>
      <c r="B244" s="55" t="s">
        <v>45</v>
      </c>
      <c r="C244" s="55" t="s">
        <v>44</v>
      </c>
      <c r="D244" s="55" t="s">
        <v>89</v>
      </c>
      <c r="E244" s="55" t="s">
        <v>90</v>
      </c>
      <c r="F244" s="55" t="s">
        <v>91</v>
      </c>
      <c r="G244" s="55" t="s">
        <v>51</v>
      </c>
    </row>
    <row r="245" spans="1:7" ht="21.95" customHeight="1" x14ac:dyDescent="0.25">
      <c r="A245" s="70"/>
      <c r="B245" s="71"/>
      <c r="C245" s="72"/>
      <c r="D245" s="71"/>
      <c r="E245" s="71"/>
      <c r="F245" s="71"/>
      <c r="G245" s="70"/>
    </row>
    <row r="246" spans="1:7" ht="21.95" customHeight="1" x14ac:dyDescent="0.25">
      <c r="A246" s="70"/>
      <c r="B246" s="71"/>
      <c r="C246" s="72"/>
      <c r="D246" s="71"/>
      <c r="E246" s="71"/>
      <c r="F246" s="71"/>
      <c r="G246" s="70"/>
    </row>
    <row r="247" spans="1:7" ht="21.95" customHeight="1" x14ac:dyDescent="0.25">
      <c r="A247" s="70"/>
      <c r="B247" s="71"/>
      <c r="C247" s="72"/>
      <c r="D247" s="71"/>
      <c r="E247" s="71"/>
      <c r="F247" s="71"/>
      <c r="G247" s="70"/>
    </row>
    <row r="248" spans="1:7" ht="21.95" customHeight="1" x14ac:dyDescent="0.25">
      <c r="A248" s="70"/>
      <c r="B248" s="71"/>
      <c r="C248" s="72"/>
      <c r="D248" s="71"/>
      <c r="E248" s="71"/>
      <c r="F248" s="71"/>
      <c r="G248" s="70"/>
    </row>
    <row r="249" spans="1:7" ht="21.95" customHeight="1" x14ac:dyDescent="0.25">
      <c r="A249" s="70"/>
      <c r="B249" s="71"/>
      <c r="C249" s="72"/>
      <c r="D249" s="71"/>
      <c r="E249" s="71"/>
      <c r="F249" s="71"/>
      <c r="G249" s="70"/>
    </row>
    <row r="250" spans="1:7" ht="21.95" customHeight="1" x14ac:dyDescent="0.25">
      <c r="A250" s="70"/>
      <c r="B250" s="71"/>
      <c r="C250" s="72"/>
      <c r="D250" s="71"/>
      <c r="E250" s="71"/>
      <c r="F250" s="71"/>
      <c r="G250" s="70"/>
    </row>
    <row r="251" spans="1:7" ht="21.95" customHeight="1" x14ac:dyDescent="0.25">
      <c r="A251" s="70"/>
      <c r="B251" s="71"/>
      <c r="C251" s="72"/>
      <c r="D251" s="71"/>
      <c r="E251" s="71"/>
      <c r="F251" s="71"/>
      <c r="G251" s="70"/>
    </row>
    <row r="252" spans="1:7" ht="21.95" customHeight="1" x14ac:dyDescent="0.25">
      <c r="A252" s="70"/>
      <c r="B252" s="71"/>
      <c r="C252" s="72"/>
      <c r="D252" s="71"/>
      <c r="E252" s="71"/>
      <c r="F252" s="71"/>
      <c r="G252" s="70"/>
    </row>
    <row r="253" spans="1:7" ht="21.95" customHeight="1" x14ac:dyDescent="0.25">
      <c r="A253" s="70"/>
      <c r="B253" s="71"/>
      <c r="C253" s="72"/>
      <c r="D253" s="71"/>
      <c r="E253" s="71"/>
      <c r="F253" s="71"/>
      <c r="G253" s="70"/>
    </row>
    <row r="254" spans="1:7" ht="21.95" customHeight="1" x14ac:dyDescent="0.25">
      <c r="A254" s="70"/>
      <c r="B254" s="71"/>
      <c r="C254" s="72"/>
      <c r="D254" s="71"/>
      <c r="E254" s="71"/>
      <c r="F254" s="71"/>
      <c r="G254" s="70"/>
    </row>
    <row r="255" spans="1:7" ht="21.95" customHeight="1" x14ac:dyDescent="0.25">
      <c r="A255" s="70"/>
      <c r="B255" s="71"/>
      <c r="C255" s="72"/>
      <c r="D255" s="71"/>
      <c r="E255" s="71"/>
      <c r="F255" s="71"/>
      <c r="G255" s="70"/>
    </row>
    <row r="256" spans="1:7" ht="21.95" customHeight="1" x14ac:dyDescent="0.25">
      <c r="A256" s="70"/>
      <c r="B256" s="71"/>
      <c r="C256" s="72"/>
      <c r="D256" s="71"/>
      <c r="E256" s="71"/>
      <c r="F256" s="71"/>
      <c r="G256" s="70"/>
    </row>
    <row r="257" spans="1:7" ht="21.95" customHeight="1" x14ac:dyDescent="0.25">
      <c r="A257" s="70"/>
      <c r="B257" s="71"/>
      <c r="C257" s="72"/>
      <c r="D257" s="71"/>
      <c r="E257" s="71"/>
      <c r="F257" s="71"/>
      <c r="G257" s="70"/>
    </row>
    <row r="258" spans="1:7" ht="21.95" customHeight="1" x14ac:dyDescent="0.25">
      <c r="A258" s="70"/>
      <c r="B258" s="71"/>
      <c r="C258" s="72"/>
      <c r="D258" s="71"/>
      <c r="E258" s="71"/>
      <c r="F258" s="71"/>
      <c r="G258" s="70"/>
    </row>
    <row r="259" spans="1:7" ht="21.95" customHeight="1" x14ac:dyDescent="0.25">
      <c r="A259" s="70"/>
      <c r="B259" s="71"/>
      <c r="C259" s="72"/>
      <c r="D259" s="71"/>
      <c r="E259" s="71"/>
      <c r="F259" s="71"/>
      <c r="G259" s="70"/>
    </row>
    <row r="260" spans="1:7" ht="21.95" customHeight="1" x14ac:dyDescent="0.25">
      <c r="A260" s="70"/>
      <c r="B260" s="71"/>
      <c r="C260" s="72"/>
      <c r="D260" s="71"/>
      <c r="E260" s="71"/>
      <c r="F260" s="71"/>
      <c r="G260" s="70"/>
    </row>
    <row r="261" spans="1:7" ht="21.95" customHeight="1" x14ac:dyDescent="0.25">
      <c r="A261" s="70"/>
      <c r="B261" s="71"/>
      <c r="C261" s="72"/>
      <c r="D261" s="71"/>
      <c r="E261" s="71"/>
      <c r="F261" s="71"/>
      <c r="G261" s="70"/>
    </row>
    <row r="262" spans="1:7" ht="21.95" customHeight="1" x14ac:dyDescent="0.25">
      <c r="A262" s="70"/>
      <c r="B262" s="71"/>
      <c r="C262" s="72"/>
      <c r="D262" s="71"/>
      <c r="E262" s="71"/>
      <c r="F262" s="71"/>
      <c r="G262" s="70"/>
    </row>
    <row r="263" spans="1:7" ht="21.95" customHeight="1" x14ac:dyDescent="0.25">
      <c r="A263" s="70"/>
      <c r="B263" s="71"/>
      <c r="C263" s="72"/>
      <c r="D263" s="71"/>
      <c r="E263" s="71"/>
      <c r="F263" s="71"/>
      <c r="G263" s="70"/>
    </row>
    <row r="264" spans="1:7" ht="21.95" customHeight="1" x14ac:dyDescent="0.25">
      <c r="A264" s="70"/>
      <c r="B264" s="71"/>
      <c r="C264" s="72"/>
      <c r="D264" s="71"/>
      <c r="E264" s="71"/>
      <c r="F264" s="71"/>
      <c r="G264" s="70"/>
    </row>
    <row r="265" spans="1:7" ht="26.1" customHeight="1" x14ac:dyDescent="0.25">
      <c r="A265" s="58" t="s">
        <v>110</v>
      </c>
      <c r="B265" s="59"/>
      <c r="C265" s="60">
        <f>SUM(C245:C264)</f>
        <v>0</v>
      </c>
      <c r="D265" s="63"/>
      <c r="E265" s="84" cm="1">
        <f t="array" ref="E265">IFERROR(SUMPRODUCT((D245:D264="Yes")*(C245:C264*1)),0)</f>
        <v>0</v>
      </c>
      <c r="F265" s="59"/>
      <c r="G265" s="63"/>
    </row>
    <row r="266" spans="1:7" ht="8.1" customHeight="1" x14ac:dyDescent="0.25"/>
    <row r="267" spans="1:7" ht="27.95" customHeight="1" x14ac:dyDescent="0.25">
      <c r="A267" s="74" t="s">
        <v>121</v>
      </c>
      <c r="B267" s="54"/>
      <c r="C267" s="54"/>
      <c r="D267" s="54"/>
      <c r="E267" s="54"/>
      <c r="F267" s="54"/>
      <c r="G267" s="54"/>
    </row>
    <row r="268" spans="1:7" ht="26.1" customHeight="1" x14ac:dyDescent="0.25">
      <c r="A268" s="55" t="s">
        <v>43</v>
      </c>
      <c r="B268" s="55" t="s">
        <v>45</v>
      </c>
      <c r="C268" s="55" t="s">
        <v>44</v>
      </c>
      <c r="D268" s="55" t="s">
        <v>89</v>
      </c>
      <c r="E268" s="55" t="s">
        <v>90</v>
      </c>
      <c r="F268" s="55" t="s">
        <v>91</v>
      </c>
      <c r="G268" s="55" t="s">
        <v>51</v>
      </c>
    </row>
    <row r="269" spans="1:7" ht="21.95" customHeight="1" x14ac:dyDescent="0.25">
      <c r="A269" s="70"/>
      <c r="B269" s="71"/>
      <c r="C269" s="72"/>
      <c r="D269" s="71"/>
      <c r="E269" s="71"/>
      <c r="F269" s="71"/>
      <c r="G269" s="70"/>
    </row>
    <row r="270" spans="1:7" ht="21.95" customHeight="1" x14ac:dyDescent="0.25">
      <c r="A270" s="70"/>
      <c r="B270" s="71"/>
      <c r="C270" s="72"/>
      <c r="D270" s="71"/>
      <c r="E270" s="71"/>
      <c r="F270" s="71"/>
      <c r="G270" s="70"/>
    </row>
    <row r="271" spans="1:7" ht="21.95" customHeight="1" x14ac:dyDescent="0.25">
      <c r="A271" s="70"/>
      <c r="B271" s="71"/>
      <c r="C271" s="72"/>
      <c r="D271" s="71"/>
      <c r="E271" s="71"/>
      <c r="F271" s="71"/>
      <c r="G271" s="70"/>
    </row>
    <row r="272" spans="1:7" ht="21.95" customHeight="1" x14ac:dyDescent="0.25">
      <c r="A272" s="70"/>
      <c r="B272" s="71"/>
      <c r="C272" s="72"/>
      <c r="D272" s="71"/>
      <c r="E272" s="71"/>
      <c r="F272" s="71"/>
      <c r="G272" s="70"/>
    </row>
    <row r="273" spans="1:7" ht="21.95" customHeight="1" x14ac:dyDescent="0.25">
      <c r="A273" s="70"/>
      <c r="B273" s="71"/>
      <c r="C273" s="72"/>
      <c r="D273" s="71"/>
      <c r="E273" s="71"/>
      <c r="F273" s="71"/>
      <c r="G273" s="70"/>
    </row>
    <row r="274" spans="1:7" ht="21.95" customHeight="1" x14ac:dyDescent="0.25">
      <c r="A274" s="70"/>
      <c r="B274" s="71"/>
      <c r="C274" s="72"/>
      <c r="D274" s="71"/>
      <c r="E274" s="71"/>
      <c r="F274" s="71"/>
      <c r="G274" s="70"/>
    </row>
    <row r="275" spans="1:7" ht="21.95" customHeight="1" x14ac:dyDescent="0.25">
      <c r="A275" s="70"/>
      <c r="B275" s="71"/>
      <c r="C275" s="72"/>
      <c r="D275" s="71"/>
      <c r="E275" s="71"/>
      <c r="F275" s="71"/>
      <c r="G275" s="70"/>
    </row>
    <row r="276" spans="1:7" ht="21.95" customHeight="1" x14ac:dyDescent="0.25">
      <c r="A276" s="70"/>
      <c r="B276" s="71"/>
      <c r="C276" s="72"/>
      <c r="D276" s="71"/>
      <c r="E276" s="71"/>
      <c r="F276" s="71"/>
      <c r="G276" s="70"/>
    </row>
    <row r="277" spans="1:7" ht="21.95" customHeight="1" x14ac:dyDescent="0.25">
      <c r="A277" s="70"/>
      <c r="B277" s="71"/>
      <c r="C277" s="72"/>
      <c r="D277" s="71"/>
      <c r="E277" s="71"/>
      <c r="F277" s="71"/>
      <c r="G277" s="70"/>
    </row>
    <row r="278" spans="1:7" ht="21.95" customHeight="1" x14ac:dyDescent="0.25">
      <c r="A278" s="70"/>
      <c r="B278" s="71"/>
      <c r="C278" s="72"/>
      <c r="D278" s="71"/>
      <c r="E278" s="71"/>
      <c r="F278" s="71"/>
      <c r="G278" s="70"/>
    </row>
    <row r="279" spans="1:7" ht="21.95" customHeight="1" x14ac:dyDescent="0.25">
      <c r="A279" s="70"/>
      <c r="B279" s="71"/>
      <c r="C279" s="72"/>
      <c r="D279" s="71"/>
      <c r="E279" s="71"/>
      <c r="F279" s="71"/>
      <c r="G279" s="70"/>
    </row>
    <row r="280" spans="1:7" ht="21.95" customHeight="1" x14ac:dyDescent="0.25">
      <c r="A280" s="70"/>
      <c r="B280" s="71"/>
      <c r="C280" s="72"/>
      <c r="D280" s="71"/>
      <c r="E280" s="71"/>
      <c r="F280" s="71"/>
      <c r="G280" s="70"/>
    </row>
    <row r="281" spans="1:7" ht="21.95" customHeight="1" x14ac:dyDescent="0.25">
      <c r="A281" s="70"/>
      <c r="B281" s="71"/>
      <c r="C281" s="72"/>
      <c r="D281" s="71"/>
      <c r="E281" s="71"/>
      <c r="F281" s="71"/>
      <c r="G281" s="70"/>
    </row>
    <row r="282" spans="1:7" ht="21.95" customHeight="1" x14ac:dyDescent="0.25">
      <c r="A282" s="70"/>
      <c r="B282" s="71"/>
      <c r="C282" s="72"/>
      <c r="D282" s="71"/>
      <c r="E282" s="71"/>
      <c r="F282" s="71"/>
      <c r="G282" s="70"/>
    </row>
    <row r="283" spans="1:7" ht="21.95" customHeight="1" x14ac:dyDescent="0.25">
      <c r="A283" s="70"/>
      <c r="B283" s="71"/>
      <c r="C283" s="72"/>
      <c r="D283" s="71"/>
      <c r="E283" s="71"/>
      <c r="F283" s="71"/>
      <c r="G283" s="70"/>
    </row>
    <row r="284" spans="1:7" ht="21.95" customHeight="1" x14ac:dyDescent="0.25">
      <c r="A284" s="70"/>
      <c r="B284" s="71"/>
      <c r="C284" s="72"/>
      <c r="D284" s="71"/>
      <c r="E284" s="71"/>
      <c r="F284" s="71"/>
      <c r="G284" s="70"/>
    </row>
    <row r="285" spans="1:7" ht="21.95" customHeight="1" x14ac:dyDescent="0.25">
      <c r="A285" s="70"/>
      <c r="B285" s="71"/>
      <c r="C285" s="72"/>
      <c r="D285" s="71"/>
      <c r="E285" s="71"/>
      <c r="F285" s="71"/>
      <c r="G285" s="70"/>
    </row>
    <row r="286" spans="1:7" ht="21.95" customHeight="1" x14ac:dyDescent="0.25">
      <c r="A286" s="70"/>
      <c r="B286" s="71"/>
      <c r="C286" s="72"/>
      <c r="D286" s="71"/>
      <c r="E286" s="71"/>
      <c r="F286" s="71"/>
      <c r="G286" s="70"/>
    </row>
    <row r="287" spans="1:7" ht="21.95" customHeight="1" x14ac:dyDescent="0.25">
      <c r="A287" s="70"/>
      <c r="B287" s="71"/>
      <c r="C287" s="72"/>
      <c r="D287" s="71"/>
      <c r="E287" s="71"/>
      <c r="F287" s="71"/>
      <c r="G287" s="70"/>
    </row>
    <row r="288" spans="1:7" ht="21.95" customHeight="1" x14ac:dyDescent="0.25">
      <c r="A288" s="70"/>
      <c r="B288" s="71"/>
      <c r="C288" s="72"/>
      <c r="D288" s="71"/>
      <c r="E288" s="71"/>
      <c r="F288" s="71"/>
      <c r="G288" s="70"/>
    </row>
    <row r="289" spans="1:7" ht="26.1" customHeight="1" x14ac:dyDescent="0.25">
      <c r="A289" s="58" t="s">
        <v>110</v>
      </c>
      <c r="B289" s="59"/>
      <c r="C289" s="60">
        <f>SUM(C269:C288)</f>
        <v>0</v>
      </c>
      <c r="D289" s="63"/>
      <c r="E289" s="84" cm="1">
        <f t="array" ref="E289">IFERROR(SUMPRODUCT((D269:D288="Yes")*(C269:C288*1)),0)</f>
        <v>0</v>
      </c>
      <c r="F289" s="59"/>
      <c r="G289" s="63"/>
    </row>
  </sheetData>
  <sheetProtection sheet="1" objects="1" scenarios="1"/>
  <mergeCells count="37">
    <mergeCell ref="E289:F289"/>
    <mergeCell ref="A27:G27"/>
    <mergeCell ref="A3:G3"/>
    <mergeCell ref="E25:F25"/>
    <mergeCell ref="A265:B265"/>
    <mergeCell ref="A121:B121"/>
    <mergeCell ref="A267:G267"/>
    <mergeCell ref="E97:F97"/>
    <mergeCell ref="E193:F193"/>
    <mergeCell ref="A195:G195"/>
    <mergeCell ref="E217:F217"/>
    <mergeCell ref="A289:B289"/>
    <mergeCell ref="A1:G1"/>
    <mergeCell ref="E49:F49"/>
    <mergeCell ref="E169:F169"/>
    <mergeCell ref="A243:G243"/>
    <mergeCell ref="A99:G99"/>
    <mergeCell ref="A97:B97"/>
    <mergeCell ref="A75:G75"/>
    <mergeCell ref="A241:B241"/>
    <mergeCell ref="E73:F73"/>
    <mergeCell ref="A25:B25"/>
    <mergeCell ref="E265:F265"/>
    <mergeCell ref="A193:B193"/>
    <mergeCell ref="A217:B217"/>
    <mergeCell ref="A51:G51"/>
    <mergeCell ref="A145:B145"/>
    <mergeCell ref="A123:G123"/>
    <mergeCell ref="E241:F241"/>
    <mergeCell ref="E145:F145"/>
    <mergeCell ref="E121:F121"/>
    <mergeCell ref="A219:G219"/>
    <mergeCell ref="A73:B73"/>
    <mergeCell ref="A49:B49"/>
    <mergeCell ref="A169:B169"/>
    <mergeCell ref="A171:G171"/>
    <mergeCell ref="A147:G147"/>
  </mergeCells>
  <conditionalFormatting sqref="A5:G24">
    <cfRule type="expression" dxfId="36" priority="2">
      <formula>$D5="Yes"</formula>
    </cfRule>
    <cfRule type="expression" dxfId="35" priority="9">
      <formula>AND($D5&lt;&gt;"Yes",$A5&lt;&gt;"")</formula>
    </cfRule>
  </conditionalFormatting>
  <conditionalFormatting sqref="A29:G48">
    <cfRule type="expression" dxfId="34" priority="24">
      <formula>AND($D29&lt;&gt;"Yes",$A29&lt;&gt;"")</formula>
    </cfRule>
    <cfRule type="expression" dxfId="33" priority="17">
      <formula>$D29="Yes"</formula>
    </cfRule>
  </conditionalFormatting>
  <conditionalFormatting sqref="A53:G72">
    <cfRule type="expression" dxfId="32" priority="39">
      <formula>AND($D53&lt;&gt;"Yes",$A53&lt;&gt;"")</formula>
    </cfRule>
    <cfRule type="expression" dxfId="31" priority="32">
      <formula>$D53="Yes"</formula>
    </cfRule>
  </conditionalFormatting>
  <conditionalFormatting sqref="A77:G96">
    <cfRule type="expression" dxfId="30" priority="54">
      <formula>AND($D77&lt;&gt;"Yes",$A77&lt;&gt;"")</formula>
    </cfRule>
    <cfRule type="expression" dxfId="29" priority="47">
      <formula>$D77="Yes"</formula>
    </cfRule>
  </conditionalFormatting>
  <conditionalFormatting sqref="A101:G120">
    <cfRule type="expression" dxfId="28" priority="69">
      <formula>AND($D101&lt;&gt;"Yes",$A101&lt;&gt;"")</formula>
    </cfRule>
    <cfRule type="expression" dxfId="27" priority="62">
      <formula>$D101="Yes"</formula>
    </cfRule>
  </conditionalFormatting>
  <conditionalFormatting sqref="A125:G144">
    <cfRule type="expression" dxfId="26" priority="77">
      <formula>$D125="Yes"</formula>
    </cfRule>
    <cfRule type="expression" dxfId="25" priority="84">
      <formula>AND($D125&lt;&gt;"Yes",$A125&lt;&gt;"")</formula>
    </cfRule>
  </conditionalFormatting>
  <conditionalFormatting sqref="A149:G168">
    <cfRule type="expression" dxfId="24" priority="99">
      <formula>AND($D149&lt;&gt;"Yes",$A149&lt;&gt;"")</formula>
    </cfRule>
    <cfRule type="expression" dxfId="23" priority="92">
      <formula>$D149="Yes"</formula>
    </cfRule>
  </conditionalFormatting>
  <conditionalFormatting sqref="A173:G192">
    <cfRule type="expression" dxfId="22" priority="114">
      <formula>AND($D173&lt;&gt;"Yes",$A173&lt;&gt;"")</formula>
    </cfRule>
    <cfRule type="expression" dxfId="21" priority="107">
      <formula>$D173="Yes"</formula>
    </cfRule>
  </conditionalFormatting>
  <conditionalFormatting sqref="A197:G216">
    <cfRule type="expression" dxfId="20" priority="129">
      <formula>AND($D197&lt;&gt;"Yes",$A197&lt;&gt;"")</formula>
    </cfRule>
    <cfRule type="expression" dxfId="19" priority="122">
      <formula>$D197="Yes"</formula>
    </cfRule>
  </conditionalFormatting>
  <conditionalFormatting sqref="A221:G240">
    <cfRule type="expression" dxfId="18" priority="137">
      <formula>$D221="Yes"</formula>
    </cfRule>
    <cfRule type="expression" dxfId="17" priority="144">
      <formula>AND($D221&lt;&gt;"Yes",$A221&lt;&gt;"")</formula>
    </cfRule>
  </conditionalFormatting>
  <conditionalFormatting sqref="A245:G264">
    <cfRule type="expression" dxfId="16" priority="152">
      <formula>$D245="Yes"</formula>
    </cfRule>
    <cfRule type="expression" dxfId="15" priority="159">
      <formula>AND($D245&lt;&gt;"Yes",$A245&lt;&gt;"")</formula>
    </cfRule>
  </conditionalFormatting>
  <conditionalFormatting sqref="A269:G288">
    <cfRule type="expression" dxfId="14" priority="174">
      <formula>AND($D269&lt;&gt;"Yes",$A269&lt;&gt;"")</formula>
    </cfRule>
    <cfRule type="expression" dxfId="13" priority="167">
      <formula>$D269="Yes"</formula>
    </cfRule>
  </conditionalFormatting>
  <conditionalFormatting sqref="D5:D24">
    <cfRule type="cellIs" dxfId="12" priority="1" operator="equal">
      <formula>"Yes"</formula>
    </cfRule>
  </conditionalFormatting>
  <conditionalFormatting sqref="D29:D48">
    <cfRule type="cellIs" dxfId="11" priority="16" operator="equal">
      <formula>"Yes"</formula>
    </cfRule>
  </conditionalFormatting>
  <conditionalFormatting sqref="D53:D72">
    <cfRule type="cellIs" dxfId="10" priority="31" operator="equal">
      <formula>"Yes"</formula>
    </cfRule>
  </conditionalFormatting>
  <conditionalFormatting sqref="D77:D96">
    <cfRule type="cellIs" dxfId="9" priority="46" operator="equal">
      <formula>"Yes"</formula>
    </cfRule>
  </conditionalFormatting>
  <conditionalFormatting sqref="D101:D120">
    <cfRule type="cellIs" dxfId="8" priority="61" operator="equal">
      <formula>"Yes"</formula>
    </cfRule>
  </conditionalFormatting>
  <conditionalFormatting sqref="D125:D144">
    <cfRule type="cellIs" dxfId="7" priority="76" operator="equal">
      <formula>"Yes"</formula>
    </cfRule>
  </conditionalFormatting>
  <conditionalFormatting sqref="D149:D168">
    <cfRule type="cellIs" dxfId="6" priority="91" operator="equal">
      <formula>"Yes"</formula>
    </cfRule>
  </conditionalFormatting>
  <conditionalFormatting sqref="D173:D192">
    <cfRule type="cellIs" dxfId="5" priority="106" operator="equal">
      <formula>"Yes"</formula>
    </cfRule>
  </conditionalFormatting>
  <conditionalFormatting sqref="D197:D216">
    <cfRule type="cellIs" dxfId="4" priority="121" operator="equal">
      <formula>"Yes"</formula>
    </cfRule>
  </conditionalFormatting>
  <conditionalFormatting sqref="D221:D240">
    <cfRule type="cellIs" dxfId="3" priority="136" operator="equal">
      <formula>"Yes"</formula>
    </cfRule>
  </conditionalFormatting>
  <conditionalFormatting sqref="D245:D264">
    <cfRule type="cellIs" dxfId="2" priority="151" operator="equal">
      <formula>"Yes"</formula>
    </cfRule>
  </conditionalFormatting>
  <conditionalFormatting sqref="D269:D288">
    <cfRule type="cellIs" dxfId="1" priority="166" operator="equal">
      <formula>"Yes"</formula>
    </cfRule>
  </conditionalFormatting>
  <dataValidations count="1">
    <dataValidation type="list" allowBlank="1" promptTitle="Payment Status" prompt="Mark Yes when paid" sqref="D5 D6 D7 D8 D9 D10 D11 D12 D13 D14 D15 D16 D17 D18 D19 D20 D21 D22 D23 D24 D29 D30 D31 D32 D33 D34 D35 D36 D37 D38 D39 D40 D41 D42 D43 D44 D45 D46 D47 D48 D53 D54 D55 D56 D57 D58 D59 D60 D61 D62 D63 D64 D65 D66 D67 D68 D69 D70 D71 D72 D77 D78 D79 D80 D81 D82 D83 D84 D85 D86 D87 D88 D89 D90 D91 D92 D93 D94 D95 D96 D101 D102 D103 D104 D105 D106 D107 D108 D109 D110 D111 D112 D113 D114 D115 D116 D117 D118 D119 D120 D125 D126 D127 D128 D129 D130 D131 D132 D133 D134 D135 D136 D137 D138 D139 D140 D141 D142 D143 D144 D149 D150 D151 D152 D153 D154 D155 D156 D157 D158 D159 D160 D161 D162 D163 D164 D165 D166 D167 D168 D173 D174 D175 D176 D177 D178 D179 D180 D181 D182 D183 D184 D185 D186 D187 D188 D189 D190 D191 D192 D197 D198 D199 D200 D201 D202 D203 D204 D205 D206 D207 D208 D209 D210 D211 D212 D213 D214 D215 D216 D221 D222 D223 D224 D225 D226 D227 D228 D229 D230 D231 D232 D233 D234 D235 D236 D237 D238 D239 D240 D245 D246 D247 D248 D249 D250 D251 D252 D253 D254 D255 D256 D257 D258 D259 D260 D261 D262 D263 D264 D269 D270 D271 D272 D273 D274 D275 D276 D277 D278 D279 D280 D281 D282 D283 D284 D285 D286 D287 D288" xr:uid="{00000000-0002-0000-0200-000000000000}">
      <formula1>"Yes,No"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74C3C"/>
  </sheetPr>
  <dimension ref="A1:K28"/>
  <sheetViews>
    <sheetView workbookViewId="0">
      <pane ySplit="2" topLeftCell="A3" activePane="bottomLeft" state="frozen"/>
      <selection pane="bottomLeft" sqref="A1:K1"/>
    </sheetView>
  </sheetViews>
  <sheetFormatPr baseColWidth="10" defaultColWidth="9.140625" defaultRowHeight="15" x14ac:dyDescent="0.25"/>
  <cols>
    <col min="1" max="1" width="28.5703125" customWidth="1"/>
    <col min="2" max="7" width="19" customWidth="1"/>
    <col min="8" max="8" width="17.140625" customWidth="1"/>
    <col min="9" max="9" width="19" customWidth="1"/>
    <col min="10" max="10" width="26.7109375" customWidth="1"/>
    <col min="11" max="11" width="32.42578125" customWidth="1"/>
  </cols>
  <sheetData>
    <row r="1" spans="1:11" ht="35.1" customHeight="1" x14ac:dyDescent="0.25">
      <c r="A1" s="53" t="s">
        <v>122</v>
      </c>
      <c r="B1" s="54"/>
      <c r="C1" s="54"/>
      <c r="D1" s="54"/>
      <c r="E1" s="54"/>
      <c r="F1" s="54"/>
      <c r="G1" s="54"/>
      <c r="H1" s="54"/>
      <c r="I1" s="54"/>
      <c r="J1" s="54"/>
      <c r="K1" s="54"/>
    </row>
    <row r="2" spans="1:11" ht="26.1" customHeight="1" x14ac:dyDescent="0.25">
      <c r="A2" s="55" t="s">
        <v>123</v>
      </c>
      <c r="B2" s="55" t="s">
        <v>17</v>
      </c>
      <c r="C2" s="55" t="s">
        <v>124</v>
      </c>
      <c r="D2" s="55" t="s">
        <v>125</v>
      </c>
      <c r="E2" s="55" t="s">
        <v>126</v>
      </c>
      <c r="F2" s="55" t="s">
        <v>127</v>
      </c>
      <c r="G2" s="55" t="s">
        <v>128</v>
      </c>
      <c r="H2" s="55" t="s">
        <v>129</v>
      </c>
      <c r="I2" s="55" t="s">
        <v>130</v>
      </c>
      <c r="J2" s="55" t="s">
        <v>131</v>
      </c>
      <c r="K2" s="55" t="s">
        <v>51</v>
      </c>
    </row>
    <row r="3" spans="1:11" ht="21.95" customHeight="1" x14ac:dyDescent="0.25">
      <c r="A3" s="64" t="s">
        <v>77</v>
      </c>
      <c r="B3" s="65" t="s">
        <v>132</v>
      </c>
      <c r="C3" s="66">
        <v>15.99</v>
      </c>
      <c r="D3" s="56">
        <f t="shared" ref="D3:D10" si="0">C3*12</f>
        <v>191.88</v>
      </c>
      <c r="E3" s="65" t="s">
        <v>54</v>
      </c>
      <c r="F3" s="65"/>
      <c r="G3" s="65"/>
      <c r="H3" s="65" t="s">
        <v>56</v>
      </c>
      <c r="I3" s="65" t="s">
        <v>56</v>
      </c>
      <c r="J3" s="64"/>
      <c r="K3" s="64"/>
    </row>
    <row r="4" spans="1:11" ht="21.95" customHeight="1" x14ac:dyDescent="0.25">
      <c r="A4" s="67" t="s">
        <v>79</v>
      </c>
      <c r="B4" s="68" t="s">
        <v>133</v>
      </c>
      <c r="C4" s="69">
        <v>10.99</v>
      </c>
      <c r="D4" s="57">
        <f t="shared" si="0"/>
        <v>131.88</v>
      </c>
      <c r="E4" s="68" t="s">
        <v>54</v>
      </c>
      <c r="F4" s="68"/>
      <c r="G4" s="68"/>
      <c r="H4" s="68" t="s">
        <v>56</v>
      </c>
      <c r="I4" s="68" t="s">
        <v>56</v>
      </c>
      <c r="J4" s="67"/>
      <c r="K4" s="67"/>
    </row>
    <row r="5" spans="1:11" ht="21.95" customHeight="1" x14ac:dyDescent="0.25">
      <c r="A5" s="64" t="s">
        <v>134</v>
      </c>
      <c r="B5" s="65" t="s">
        <v>135</v>
      </c>
      <c r="C5" s="66">
        <v>14.99</v>
      </c>
      <c r="D5" s="56">
        <f t="shared" si="0"/>
        <v>179.88</v>
      </c>
      <c r="E5" s="65" t="s">
        <v>54</v>
      </c>
      <c r="F5" s="65"/>
      <c r="G5" s="65"/>
      <c r="H5" s="65" t="s">
        <v>56</v>
      </c>
      <c r="I5" s="65" t="s">
        <v>56</v>
      </c>
      <c r="J5" s="64"/>
      <c r="K5" s="64"/>
    </row>
    <row r="6" spans="1:11" ht="21.95" customHeight="1" x14ac:dyDescent="0.25">
      <c r="A6" s="67" t="s">
        <v>136</v>
      </c>
      <c r="B6" s="68" t="s">
        <v>137</v>
      </c>
      <c r="C6" s="69">
        <v>49.99</v>
      </c>
      <c r="D6" s="57">
        <f t="shared" si="0"/>
        <v>599.88</v>
      </c>
      <c r="E6" s="68" t="s">
        <v>54</v>
      </c>
      <c r="F6" s="68"/>
      <c r="G6" s="68"/>
      <c r="H6" s="68" t="s">
        <v>56</v>
      </c>
      <c r="I6" s="68" t="s">
        <v>56</v>
      </c>
      <c r="J6" s="67"/>
      <c r="K6" s="67"/>
    </row>
    <row r="7" spans="1:11" ht="21.95" customHeight="1" x14ac:dyDescent="0.25">
      <c r="A7" s="64" t="s">
        <v>84</v>
      </c>
      <c r="B7" s="65" t="s">
        <v>138</v>
      </c>
      <c r="C7" s="66">
        <v>2.99</v>
      </c>
      <c r="D7" s="56">
        <f t="shared" si="0"/>
        <v>35.880000000000003</v>
      </c>
      <c r="E7" s="65" t="s">
        <v>54</v>
      </c>
      <c r="F7" s="65"/>
      <c r="G7" s="65"/>
      <c r="H7" s="65" t="s">
        <v>56</v>
      </c>
      <c r="I7" s="65" t="s">
        <v>56</v>
      </c>
      <c r="J7" s="64"/>
      <c r="K7" s="64"/>
    </row>
    <row r="8" spans="1:11" ht="21.95" customHeight="1" x14ac:dyDescent="0.25">
      <c r="A8" s="67" t="s">
        <v>139</v>
      </c>
      <c r="B8" s="68" t="s">
        <v>132</v>
      </c>
      <c r="C8" s="69">
        <v>12.99</v>
      </c>
      <c r="D8" s="57">
        <f t="shared" si="0"/>
        <v>155.88</v>
      </c>
      <c r="E8" s="68" t="s">
        <v>54</v>
      </c>
      <c r="F8" s="68"/>
      <c r="G8" s="68"/>
      <c r="H8" s="68" t="s">
        <v>56</v>
      </c>
      <c r="I8" s="68" t="s">
        <v>82</v>
      </c>
      <c r="J8" s="67"/>
      <c r="K8" s="67"/>
    </row>
    <row r="9" spans="1:11" ht="21.95" customHeight="1" x14ac:dyDescent="0.25">
      <c r="A9" s="64" t="s">
        <v>140</v>
      </c>
      <c r="B9" s="65" t="s">
        <v>141</v>
      </c>
      <c r="C9" s="66">
        <v>9.99</v>
      </c>
      <c r="D9" s="56">
        <f t="shared" si="0"/>
        <v>119.88</v>
      </c>
      <c r="E9" s="65" t="s">
        <v>54</v>
      </c>
      <c r="F9" s="65"/>
      <c r="G9" s="65"/>
      <c r="H9" s="65" t="s">
        <v>82</v>
      </c>
      <c r="I9" s="65" t="s">
        <v>82</v>
      </c>
      <c r="J9" s="64"/>
      <c r="K9" s="64"/>
    </row>
    <row r="10" spans="1:11" ht="21.95" customHeight="1" x14ac:dyDescent="0.25">
      <c r="A10" s="67" t="s">
        <v>142</v>
      </c>
      <c r="B10" s="68" t="s">
        <v>138</v>
      </c>
      <c r="C10" s="69">
        <v>3.99</v>
      </c>
      <c r="D10" s="57">
        <f t="shared" si="0"/>
        <v>47.88</v>
      </c>
      <c r="E10" s="68" t="s">
        <v>54</v>
      </c>
      <c r="F10" s="68"/>
      <c r="G10" s="68"/>
      <c r="H10" s="68" t="s">
        <v>56</v>
      </c>
      <c r="I10" s="68" t="s">
        <v>56</v>
      </c>
      <c r="J10" s="67"/>
      <c r="K10" s="67"/>
    </row>
    <row r="11" spans="1:11" ht="21.95" customHeight="1" x14ac:dyDescent="0.25">
      <c r="A11" s="70"/>
      <c r="B11" s="71"/>
      <c r="C11" s="72"/>
      <c r="D11" s="56" t="str">
        <f t="shared" ref="D11:D22" si="1">IF(C11&lt;&gt;"",C11*12,"")</f>
        <v/>
      </c>
      <c r="E11" s="71"/>
      <c r="F11" s="71"/>
      <c r="G11" s="71"/>
      <c r="H11" s="71"/>
      <c r="I11" s="71"/>
      <c r="J11" s="70"/>
      <c r="K11" s="70"/>
    </row>
    <row r="12" spans="1:11" ht="21.95" customHeight="1" x14ac:dyDescent="0.25">
      <c r="A12" s="70"/>
      <c r="B12" s="71"/>
      <c r="C12" s="72"/>
      <c r="D12" s="57" t="str">
        <f t="shared" si="1"/>
        <v/>
      </c>
      <c r="E12" s="71"/>
      <c r="F12" s="71"/>
      <c r="G12" s="71"/>
      <c r="H12" s="71"/>
      <c r="I12" s="71"/>
      <c r="J12" s="70"/>
      <c r="K12" s="70"/>
    </row>
    <row r="13" spans="1:11" ht="21.95" customHeight="1" x14ac:dyDescent="0.25">
      <c r="A13" s="70"/>
      <c r="B13" s="71"/>
      <c r="C13" s="72"/>
      <c r="D13" s="56" t="str">
        <f t="shared" si="1"/>
        <v/>
      </c>
      <c r="E13" s="71"/>
      <c r="F13" s="71"/>
      <c r="G13" s="71"/>
      <c r="H13" s="71"/>
      <c r="I13" s="71"/>
      <c r="J13" s="70"/>
      <c r="K13" s="70"/>
    </row>
    <row r="14" spans="1:11" ht="21.95" customHeight="1" x14ac:dyDescent="0.25">
      <c r="A14" s="70"/>
      <c r="B14" s="71"/>
      <c r="C14" s="72"/>
      <c r="D14" s="57" t="str">
        <f t="shared" si="1"/>
        <v/>
      </c>
      <c r="E14" s="71"/>
      <c r="F14" s="71"/>
      <c r="G14" s="71"/>
      <c r="H14" s="71"/>
      <c r="I14" s="71"/>
      <c r="J14" s="70"/>
      <c r="K14" s="70"/>
    </row>
    <row r="15" spans="1:11" ht="21.95" customHeight="1" x14ac:dyDescent="0.25">
      <c r="A15" s="70"/>
      <c r="B15" s="71"/>
      <c r="C15" s="72"/>
      <c r="D15" s="56" t="str">
        <f t="shared" si="1"/>
        <v/>
      </c>
      <c r="E15" s="71"/>
      <c r="F15" s="71"/>
      <c r="G15" s="71"/>
      <c r="H15" s="71"/>
      <c r="I15" s="71"/>
      <c r="J15" s="70"/>
      <c r="K15" s="70"/>
    </row>
    <row r="16" spans="1:11" ht="21.95" customHeight="1" x14ac:dyDescent="0.25">
      <c r="A16" s="70"/>
      <c r="B16" s="71"/>
      <c r="C16" s="72"/>
      <c r="D16" s="57" t="str">
        <f t="shared" si="1"/>
        <v/>
      </c>
      <c r="E16" s="71"/>
      <c r="F16" s="71"/>
      <c r="G16" s="71"/>
      <c r="H16" s="71"/>
      <c r="I16" s="71"/>
      <c r="J16" s="70"/>
      <c r="K16" s="70"/>
    </row>
    <row r="17" spans="1:11" ht="21.95" customHeight="1" x14ac:dyDescent="0.25">
      <c r="A17" s="70"/>
      <c r="B17" s="71"/>
      <c r="C17" s="72"/>
      <c r="D17" s="56" t="str">
        <f t="shared" si="1"/>
        <v/>
      </c>
      <c r="E17" s="71"/>
      <c r="F17" s="71"/>
      <c r="G17" s="71"/>
      <c r="H17" s="71"/>
      <c r="I17" s="71"/>
      <c r="J17" s="70"/>
      <c r="K17" s="70"/>
    </row>
    <row r="18" spans="1:11" ht="21.95" customHeight="1" x14ac:dyDescent="0.25">
      <c r="A18" s="70"/>
      <c r="B18" s="71"/>
      <c r="C18" s="72"/>
      <c r="D18" s="57" t="str">
        <f t="shared" si="1"/>
        <v/>
      </c>
      <c r="E18" s="71"/>
      <c r="F18" s="71"/>
      <c r="G18" s="71"/>
      <c r="H18" s="71"/>
      <c r="I18" s="71"/>
      <c r="J18" s="70"/>
      <c r="K18" s="70"/>
    </row>
    <row r="19" spans="1:11" ht="21.95" customHeight="1" x14ac:dyDescent="0.25">
      <c r="A19" s="70"/>
      <c r="B19" s="71"/>
      <c r="C19" s="72"/>
      <c r="D19" s="56" t="str">
        <f t="shared" si="1"/>
        <v/>
      </c>
      <c r="E19" s="71"/>
      <c r="F19" s="71"/>
      <c r="G19" s="71"/>
      <c r="H19" s="71"/>
      <c r="I19" s="71"/>
      <c r="J19" s="70"/>
      <c r="K19" s="70"/>
    </row>
    <row r="20" spans="1:11" ht="21.95" customHeight="1" x14ac:dyDescent="0.25">
      <c r="A20" s="70"/>
      <c r="B20" s="71"/>
      <c r="C20" s="72"/>
      <c r="D20" s="57" t="str">
        <f t="shared" si="1"/>
        <v/>
      </c>
      <c r="E20" s="71"/>
      <c r="F20" s="71"/>
      <c r="G20" s="71"/>
      <c r="H20" s="71"/>
      <c r="I20" s="71"/>
      <c r="J20" s="70"/>
      <c r="K20" s="70"/>
    </row>
    <row r="21" spans="1:11" ht="21.95" customHeight="1" x14ac:dyDescent="0.25">
      <c r="A21" s="70"/>
      <c r="B21" s="71"/>
      <c r="C21" s="72"/>
      <c r="D21" s="56" t="str">
        <f t="shared" si="1"/>
        <v/>
      </c>
      <c r="E21" s="71"/>
      <c r="F21" s="71"/>
      <c r="G21" s="71"/>
      <c r="H21" s="71"/>
      <c r="I21" s="71"/>
      <c r="J21" s="70"/>
      <c r="K21" s="70"/>
    </row>
    <row r="22" spans="1:11" ht="21.95" customHeight="1" x14ac:dyDescent="0.25">
      <c r="A22" s="70"/>
      <c r="B22" s="71"/>
      <c r="C22" s="72">
        <f>SUM(C3:C21)</f>
        <v>121.91999999999999</v>
      </c>
      <c r="D22" s="57">
        <f t="shared" si="1"/>
        <v>1463.04</v>
      </c>
      <c r="E22" s="71"/>
      <c r="F22" s="71"/>
      <c r="G22" s="71"/>
      <c r="H22" s="71"/>
      <c r="I22" s="71"/>
      <c r="J22" s="70"/>
      <c r="K22" s="70"/>
    </row>
    <row r="23" spans="1:11" ht="8.1" customHeight="1" x14ac:dyDescent="0.25">
      <c r="A23" s="73"/>
      <c r="B23" s="73"/>
      <c r="C23" s="73"/>
      <c r="D23" s="73"/>
      <c r="E23" s="73"/>
      <c r="F23" s="73"/>
      <c r="G23" s="73"/>
      <c r="H23" s="73"/>
      <c r="I23" s="73"/>
      <c r="J23" s="73"/>
      <c r="K23" s="73"/>
    </row>
    <row r="24" spans="1:11" ht="27.95" customHeight="1" x14ac:dyDescent="0.25">
      <c r="A24" s="74" t="s">
        <v>143</v>
      </c>
      <c r="B24" s="54"/>
      <c r="C24" s="54"/>
      <c r="D24" s="54"/>
      <c r="E24" s="54"/>
      <c r="F24" s="73"/>
      <c r="G24" s="73"/>
      <c r="H24" s="73"/>
      <c r="I24" s="73"/>
      <c r="J24" s="73"/>
      <c r="K24" s="73"/>
    </row>
    <row r="25" spans="1:11" ht="24" customHeight="1" x14ac:dyDescent="0.25">
      <c r="A25" s="75" t="s">
        <v>144</v>
      </c>
      <c r="B25" s="76"/>
      <c r="C25" s="59"/>
      <c r="D25" s="77">
        <f>C22</f>
        <v>121.91999999999999</v>
      </c>
      <c r="E25" s="78"/>
      <c r="F25" s="73"/>
      <c r="G25" s="73"/>
      <c r="H25" s="73"/>
      <c r="I25" s="73"/>
      <c r="J25" s="73"/>
      <c r="K25" s="73"/>
    </row>
    <row r="26" spans="1:11" ht="24" customHeight="1" x14ac:dyDescent="0.25">
      <c r="A26" s="79" t="s">
        <v>145</v>
      </c>
      <c r="B26" s="76"/>
      <c r="C26" s="59"/>
      <c r="D26" s="80">
        <f>D22</f>
        <v>1463.04</v>
      </c>
      <c r="E26" s="81"/>
      <c r="F26" s="73"/>
      <c r="G26" s="73"/>
      <c r="H26" s="73"/>
      <c r="I26" s="73"/>
      <c r="J26" s="73"/>
      <c r="K26" s="73"/>
    </row>
    <row r="27" spans="1:11" ht="24" customHeight="1" x14ac:dyDescent="0.25">
      <c r="A27" s="75" t="s">
        <v>146</v>
      </c>
      <c r="B27" s="76"/>
      <c r="C27" s="59"/>
      <c r="D27" s="82">
        <f>SUMPRODUCT((I3:I22="No")*(C3:C22))</f>
        <v>22.98</v>
      </c>
      <c r="E27" s="78"/>
      <c r="F27" s="73"/>
      <c r="G27" s="73"/>
      <c r="H27" s="73"/>
      <c r="I27" s="73"/>
      <c r="J27" s="73"/>
      <c r="K27" s="73"/>
    </row>
    <row r="28" spans="1:11" ht="24" customHeight="1" x14ac:dyDescent="0.25">
      <c r="A28" s="79" t="s">
        <v>147</v>
      </c>
      <c r="B28" s="76"/>
      <c r="C28" s="59"/>
      <c r="D28" s="83" cm="1">
        <f t="array" ref="D28">SUMPRODUCT((I3:I22="No")*IF(ISNUMBER(D3:D22),D3:D22,0))</f>
        <v>275.76</v>
      </c>
      <c r="E28" s="81"/>
      <c r="F28" s="73"/>
      <c r="G28" s="73"/>
      <c r="H28" s="73"/>
      <c r="I28" s="73"/>
      <c r="J28" s="73"/>
      <c r="K28" s="73"/>
    </row>
  </sheetData>
  <sheetProtection sheet="1" objects="1" scenarios="1" autoFilter="0"/>
  <mergeCells count="6">
    <mergeCell ref="A28:C28"/>
    <mergeCell ref="A25:C25"/>
    <mergeCell ref="A24:E24"/>
    <mergeCell ref="A1:K1"/>
    <mergeCell ref="A27:C27"/>
    <mergeCell ref="A26:C26"/>
  </mergeCells>
  <conditionalFormatting sqref="H3:I22">
    <cfRule type="cellIs" dxfId="0" priority="1" operator="equal">
      <formula>"No"</formula>
    </cfRule>
  </conditionalFormatting>
  <dataValidations count="2">
    <dataValidation type="list" allowBlank="1" prompt="Select Yes or No" sqref="H3 H4 H5 H6 H7 H8 H9 H10 H11 H12 H13 H14 H15 H16 H17 H18 H19 H20 H21 H22 I3 I4 I5 I6 I7 I8 I9 I10 I11 I12 I13 I14 I15 I16 I17 I18 I19 I20 I21 I22" xr:uid="{00000000-0002-0000-0300-000000000000}">
      <formula1>"Yes,No"</formula1>
    </dataValidation>
    <dataValidation type="list" allowBlank="1" sqref="E3 E4 E5 E6 E7 E8 E9 E10 E11 E12 E13 E14 E15 E16 E17 E18 E19 E20 E21 E22" xr:uid="{00000000-0002-0000-0300-000001000000}">
      <formula1>"Monthly,Quarterly,Semi-Annual,Annual"</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A1:X29"/>
  <sheetViews>
    <sheetView workbookViewId="0">
      <pane ySplit="4" topLeftCell="A5" activePane="bottomLeft" state="frozen"/>
      <selection pane="bottomLeft" activeCell="E10" sqref="E10"/>
    </sheetView>
  </sheetViews>
  <sheetFormatPr baseColWidth="10" defaultColWidth="9.140625" defaultRowHeight="15" x14ac:dyDescent="0.25"/>
  <cols>
    <col min="1" max="1" width="26.7109375" customWidth="1"/>
    <col min="2" max="2" width="13.28515625" customWidth="1"/>
    <col min="3" max="3" width="26.7109375" customWidth="1"/>
    <col min="4" max="4" width="13.28515625" customWidth="1"/>
    <col min="5" max="5" width="26.7109375" customWidth="1"/>
    <col min="6" max="6" width="13.28515625" customWidth="1"/>
    <col min="7" max="7" width="26.7109375" customWidth="1"/>
    <col min="8" max="8" width="13.28515625" customWidth="1"/>
    <col min="9" max="9" width="26.7109375" customWidth="1"/>
    <col min="10" max="10" width="13.28515625" customWidth="1"/>
    <col min="11" max="11" width="26.7109375" customWidth="1"/>
    <col min="12" max="12" width="13.28515625" customWidth="1"/>
    <col min="13" max="13" width="26.7109375" customWidth="1"/>
    <col min="14" max="14" width="13.28515625" customWidth="1"/>
    <col min="15" max="15" width="26.7109375" customWidth="1"/>
    <col min="16" max="16" width="13.28515625" customWidth="1"/>
    <col min="17" max="17" width="26.7109375" customWidth="1"/>
    <col min="18" max="18" width="13.28515625" customWidth="1"/>
    <col min="19" max="19" width="26.7109375" customWidth="1"/>
    <col min="20" max="20" width="13.28515625" customWidth="1"/>
    <col min="21" max="21" width="26.7109375" customWidth="1"/>
    <col min="22" max="22" width="13.28515625" customWidth="1"/>
    <col min="23" max="23" width="26.7109375" customWidth="1"/>
    <col min="24" max="24" width="13.28515625" customWidth="1"/>
  </cols>
  <sheetData>
    <row r="1" spans="1:24" ht="35.1" customHeight="1" x14ac:dyDescent="0.25">
      <c r="A1" s="53" t="s">
        <v>148</v>
      </c>
      <c r="B1" s="54"/>
      <c r="C1" s="54"/>
      <c r="D1" s="54"/>
      <c r="E1" s="54"/>
      <c r="F1" s="54"/>
      <c r="G1" s="54"/>
      <c r="H1" s="54"/>
      <c r="I1" s="54"/>
      <c r="J1" s="54"/>
      <c r="K1" s="54"/>
      <c r="L1" s="54"/>
      <c r="M1" s="54"/>
      <c r="N1" s="54"/>
      <c r="O1" s="54"/>
      <c r="P1" s="54"/>
      <c r="Q1" s="54"/>
      <c r="R1" s="54"/>
      <c r="S1" s="54"/>
      <c r="T1" s="54"/>
      <c r="U1" s="54"/>
      <c r="V1" s="54"/>
      <c r="W1" s="54"/>
      <c r="X1" s="54"/>
    </row>
    <row r="2" spans="1:24" ht="21.95" customHeight="1" x14ac:dyDescent="0.25">
      <c r="A2" s="85" t="s">
        <v>149</v>
      </c>
      <c r="B2" s="54"/>
      <c r="C2" s="54"/>
      <c r="D2" s="54"/>
      <c r="E2" s="54"/>
      <c r="F2" s="54"/>
      <c r="G2" s="54"/>
      <c r="H2" s="54"/>
      <c r="I2" s="54"/>
      <c r="J2" s="54"/>
      <c r="K2" s="54"/>
      <c r="L2" s="54"/>
      <c r="M2" s="54"/>
      <c r="N2" s="54"/>
      <c r="O2" s="54"/>
      <c r="P2" s="54"/>
      <c r="Q2" s="54"/>
      <c r="R2" s="54"/>
      <c r="S2" s="54"/>
      <c r="T2" s="54"/>
      <c r="U2" s="54"/>
      <c r="V2" s="54"/>
      <c r="W2" s="54"/>
      <c r="X2" s="54"/>
    </row>
    <row r="3" spans="1:24" ht="26.1" customHeight="1" x14ac:dyDescent="0.25">
      <c r="A3" s="86" t="s">
        <v>88</v>
      </c>
      <c r="B3" s="59"/>
      <c r="C3" s="86" t="s">
        <v>111</v>
      </c>
      <c r="D3" s="59"/>
      <c r="E3" s="86" t="s">
        <v>112</v>
      </c>
      <c r="F3" s="59"/>
      <c r="G3" s="86" t="s">
        <v>113</v>
      </c>
      <c r="H3" s="59"/>
      <c r="I3" s="86" t="s">
        <v>114</v>
      </c>
      <c r="J3" s="59"/>
      <c r="K3" s="86" t="s">
        <v>115</v>
      </c>
      <c r="L3" s="59"/>
      <c r="M3" s="86" t="s">
        <v>116</v>
      </c>
      <c r="N3" s="59"/>
      <c r="O3" s="86" t="s">
        <v>117</v>
      </c>
      <c r="P3" s="59"/>
      <c r="Q3" s="86" t="s">
        <v>118</v>
      </c>
      <c r="R3" s="59"/>
      <c r="S3" s="86" t="s">
        <v>119</v>
      </c>
      <c r="T3" s="59"/>
      <c r="U3" s="86" t="s">
        <v>120</v>
      </c>
      <c r="V3" s="59"/>
      <c r="W3" s="86" t="s">
        <v>121</v>
      </c>
      <c r="X3" s="59"/>
    </row>
    <row r="4" spans="1:24" ht="24" customHeight="1" x14ac:dyDescent="0.25">
      <c r="A4" s="87" t="s">
        <v>150</v>
      </c>
      <c r="B4" s="87" t="s">
        <v>44</v>
      </c>
      <c r="C4" s="87" t="s">
        <v>150</v>
      </c>
      <c r="D4" s="87" t="s">
        <v>44</v>
      </c>
      <c r="E4" s="87" t="s">
        <v>150</v>
      </c>
      <c r="F4" s="87" t="s">
        <v>44</v>
      </c>
      <c r="G4" s="87" t="s">
        <v>150</v>
      </c>
      <c r="H4" s="87" t="s">
        <v>44</v>
      </c>
      <c r="I4" s="87" t="s">
        <v>150</v>
      </c>
      <c r="J4" s="87" t="s">
        <v>44</v>
      </c>
      <c r="K4" s="87" t="s">
        <v>150</v>
      </c>
      <c r="L4" s="87" t="s">
        <v>44</v>
      </c>
      <c r="M4" s="87" t="s">
        <v>150</v>
      </c>
      <c r="N4" s="87" t="s">
        <v>44</v>
      </c>
      <c r="O4" s="87" t="s">
        <v>150</v>
      </c>
      <c r="P4" s="87" t="s">
        <v>44</v>
      </c>
      <c r="Q4" s="87" t="s">
        <v>150</v>
      </c>
      <c r="R4" s="87" t="s">
        <v>44</v>
      </c>
      <c r="S4" s="87" t="s">
        <v>150</v>
      </c>
      <c r="T4" s="87" t="s">
        <v>44</v>
      </c>
      <c r="U4" s="87" t="s">
        <v>150</v>
      </c>
      <c r="V4" s="87" t="s">
        <v>44</v>
      </c>
      <c r="W4" s="87" t="s">
        <v>150</v>
      </c>
      <c r="X4" s="87" t="s">
        <v>44</v>
      </c>
    </row>
    <row r="5" spans="1:24" ht="20.100000000000001" customHeight="1" x14ac:dyDescent="0.25">
      <c r="A5" s="104" t="s">
        <v>151</v>
      </c>
      <c r="B5" s="109">
        <v>1500</v>
      </c>
      <c r="C5" s="104" t="s">
        <v>151</v>
      </c>
      <c r="D5" s="109">
        <v>1500</v>
      </c>
      <c r="E5" s="104" t="s">
        <v>151</v>
      </c>
      <c r="F5" s="109">
        <v>1500</v>
      </c>
      <c r="G5" s="104" t="s">
        <v>151</v>
      </c>
      <c r="H5" s="109">
        <v>1500</v>
      </c>
      <c r="I5" s="104" t="s">
        <v>151</v>
      </c>
      <c r="J5" s="109">
        <v>1500</v>
      </c>
      <c r="K5" s="104" t="s">
        <v>151</v>
      </c>
      <c r="L5" s="109">
        <v>1500</v>
      </c>
      <c r="M5" s="104" t="s">
        <v>151</v>
      </c>
      <c r="N5" s="109">
        <v>1500</v>
      </c>
      <c r="O5" s="104" t="s">
        <v>151</v>
      </c>
      <c r="P5" s="109">
        <v>1500</v>
      </c>
      <c r="Q5" s="104" t="s">
        <v>151</v>
      </c>
      <c r="R5" s="109">
        <v>1500</v>
      </c>
      <c r="S5" s="104" t="s">
        <v>151</v>
      </c>
      <c r="T5" s="109">
        <v>1500</v>
      </c>
      <c r="U5" s="104" t="s">
        <v>151</v>
      </c>
      <c r="V5" s="109">
        <v>1500</v>
      </c>
      <c r="W5" s="104" t="s">
        <v>151</v>
      </c>
      <c r="X5" s="109">
        <v>1500</v>
      </c>
    </row>
    <row r="6" spans="1:24" ht="20.100000000000001" customHeight="1" x14ac:dyDescent="0.25">
      <c r="A6" s="105" t="s">
        <v>152</v>
      </c>
      <c r="B6" s="110">
        <v>120</v>
      </c>
      <c r="C6" s="105" t="s">
        <v>152</v>
      </c>
      <c r="D6" s="110">
        <v>120</v>
      </c>
      <c r="E6" s="105" t="s">
        <v>152</v>
      </c>
      <c r="F6" s="110">
        <v>120</v>
      </c>
      <c r="G6" s="105" t="s">
        <v>152</v>
      </c>
      <c r="H6" s="110">
        <v>120</v>
      </c>
      <c r="I6" s="105" t="s">
        <v>152</v>
      </c>
      <c r="J6" s="110">
        <v>120</v>
      </c>
      <c r="K6" s="105" t="s">
        <v>152</v>
      </c>
      <c r="L6" s="110">
        <v>120</v>
      </c>
      <c r="M6" s="105" t="s">
        <v>152</v>
      </c>
      <c r="N6" s="110">
        <v>120</v>
      </c>
      <c r="O6" s="105" t="s">
        <v>152</v>
      </c>
      <c r="P6" s="110">
        <v>120</v>
      </c>
      <c r="Q6" s="105" t="s">
        <v>152</v>
      </c>
      <c r="R6" s="110">
        <v>120</v>
      </c>
      <c r="S6" s="105" t="s">
        <v>152</v>
      </c>
      <c r="T6" s="110">
        <v>120</v>
      </c>
      <c r="U6" s="105" t="s">
        <v>152</v>
      </c>
      <c r="V6" s="110">
        <v>120</v>
      </c>
      <c r="W6" s="105" t="s">
        <v>152</v>
      </c>
      <c r="X6" s="110">
        <v>120</v>
      </c>
    </row>
    <row r="7" spans="1:24" ht="20.100000000000001" customHeight="1" x14ac:dyDescent="0.25">
      <c r="A7" s="105" t="s">
        <v>153</v>
      </c>
      <c r="B7" s="110">
        <v>80</v>
      </c>
      <c r="C7" s="105" t="s">
        <v>153</v>
      </c>
      <c r="D7" s="110">
        <v>80</v>
      </c>
      <c r="E7" s="105" t="s">
        <v>153</v>
      </c>
      <c r="F7" s="110">
        <v>80</v>
      </c>
      <c r="G7" s="105" t="s">
        <v>153</v>
      </c>
      <c r="H7" s="110">
        <v>80</v>
      </c>
      <c r="I7" s="105" t="s">
        <v>153</v>
      </c>
      <c r="J7" s="110">
        <v>80</v>
      </c>
      <c r="K7" s="105" t="s">
        <v>153</v>
      </c>
      <c r="L7" s="110">
        <v>80</v>
      </c>
      <c r="M7" s="105" t="s">
        <v>153</v>
      </c>
      <c r="N7" s="110">
        <v>80</v>
      </c>
      <c r="O7" s="105" t="s">
        <v>153</v>
      </c>
      <c r="P7" s="110">
        <v>80</v>
      </c>
      <c r="Q7" s="105" t="s">
        <v>153</v>
      </c>
      <c r="R7" s="110">
        <v>80</v>
      </c>
      <c r="S7" s="105" t="s">
        <v>153</v>
      </c>
      <c r="T7" s="110">
        <v>80</v>
      </c>
      <c r="U7" s="105" t="s">
        <v>153</v>
      </c>
      <c r="V7" s="110">
        <v>80</v>
      </c>
      <c r="W7" s="105" t="s">
        <v>153</v>
      </c>
      <c r="X7" s="110">
        <v>80</v>
      </c>
    </row>
    <row r="8" spans="1:24" ht="20.100000000000001" customHeight="1" x14ac:dyDescent="0.25">
      <c r="A8" s="105" t="s">
        <v>154</v>
      </c>
      <c r="B8" s="110">
        <v>65</v>
      </c>
      <c r="C8" s="105" t="s">
        <v>154</v>
      </c>
      <c r="D8" s="110">
        <v>65</v>
      </c>
      <c r="E8" s="105" t="s">
        <v>154</v>
      </c>
      <c r="F8" s="110">
        <v>65</v>
      </c>
      <c r="G8" s="105" t="s">
        <v>154</v>
      </c>
      <c r="H8" s="110">
        <v>65</v>
      </c>
      <c r="I8" s="105" t="s">
        <v>154</v>
      </c>
      <c r="J8" s="110">
        <v>65</v>
      </c>
      <c r="K8" s="105" t="s">
        <v>154</v>
      </c>
      <c r="L8" s="110">
        <v>65</v>
      </c>
      <c r="M8" s="105" t="s">
        <v>154</v>
      </c>
      <c r="N8" s="110">
        <v>65</v>
      </c>
      <c r="O8" s="105" t="s">
        <v>154</v>
      </c>
      <c r="P8" s="110">
        <v>65</v>
      </c>
      <c r="Q8" s="105" t="s">
        <v>154</v>
      </c>
      <c r="R8" s="110">
        <v>65</v>
      </c>
      <c r="S8" s="105" t="s">
        <v>154</v>
      </c>
      <c r="T8" s="110">
        <v>65</v>
      </c>
      <c r="U8" s="105" t="s">
        <v>154</v>
      </c>
      <c r="V8" s="110">
        <v>65</v>
      </c>
      <c r="W8" s="105" t="s">
        <v>154</v>
      </c>
      <c r="X8" s="110">
        <v>65</v>
      </c>
    </row>
    <row r="9" spans="1:24" ht="20.100000000000001" customHeight="1" x14ac:dyDescent="0.25">
      <c r="A9" s="105" t="s">
        <v>155</v>
      </c>
      <c r="B9" s="110">
        <v>70</v>
      </c>
      <c r="C9" s="105" t="s">
        <v>155</v>
      </c>
      <c r="D9" s="110">
        <v>70</v>
      </c>
      <c r="E9" s="105" t="s">
        <v>155</v>
      </c>
      <c r="F9" s="110">
        <v>70</v>
      </c>
      <c r="G9" s="105" t="s">
        <v>155</v>
      </c>
      <c r="H9" s="110">
        <v>70</v>
      </c>
      <c r="I9" s="105" t="s">
        <v>155</v>
      </c>
      <c r="J9" s="110">
        <v>70</v>
      </c>
      <c r="K9" s="105" t="s">
        <v>155</v>
      </c>
      <c r="L9" s="110">
        <v>70</v>
      </c>
      <c r="M9" s="105" t="s">
        <v>155</v>
      </c>
      <c r="N9" s="110">
        <v>70</v>
      </c>
      <c r="O9" s="105" t="s">
        <v>155</v>
      </c>
      <c r="P9" s="110">
        <v>70</v>
      </c>
      <c r="Q9" s="105" t="s">
        <v>155</v>
      </c>
      <c r="R9" s="110">
        <v>70</v>
      </c>
      <c r="S9" s="105" t="s">
        <v>155</v>
      </c>
      <c r="T9" s="110">
        <v>70</v>
      </c>
      <c r="U9" s="105" t="s">
        <v>155</v>
      </c>
      <c r="V9" s="110">
        <v>70</v>
      </c>
      <c r="W9" s="105" t="s">
        <v>155</v>
      </c>
      <c r="X9" s="110">
        <v>70</v>
      </c>
    </row>
    <row r="10" spans="1:24" ht="20.100000000000001" customHeight="1" x14ac:dyDescent="0.25">
      <c r="A10" s="105" t="s">
        <v>156</v>
      </c>
      <c r="B10" s="110">
        <v>85</v>
      </c>
      <c r="C10" s="105" t="s">
        <v>156</v>
      </c>
      <c r="D10" s="110">
        <v>85</v>
      </c>
      <c r="E10" s="105" t="s">
        <v>156</v>
      </c>
      <c r="F10" s="110">
        <v>85</v>
      </c>
      <c r="G10" s="105" t="s">
        <v>156</v>
      </c>
      <c r="H10" s="110">
        <v>85</v>
      </c>
      <c r="I10" s="105" t="s">
        <v>156</v>
      </c>
      <c r="J10" s="110">
        <v>85</v>
      </c>
      <c r="K10" s="105" t="s">
        <v>156</v>
      </c>
      <c r="L10" s="110">
        <v>85</v>
      </c>
      <c r="M10" s="105" t="s">
        <v>156</v>
      </c>
      <c r="N10" s="110">
        <v>85</v>
      </c>
      <c r="O10" s="105" t="s">
        <v>156</v>
      </c>
      <c r="P10" s="110">
        <v>85</v>
      </c>
      <c r="Q10" s="105" t="s">
        <v>156</v>
      </c>
      <c r="R10" s="110">
        <v>85</v>
      </c>
      <c r="S10" s="105" t="s">
        <v>156</v>
      </c>
      <c r="T10" s="110">
        <v>85</v>
      </c>
      <c r="U10" s="105" t="s">
        <v>156</v>
      </c>
      <c r="V10" s="110">
        <v>85</v>
      </c>
      <c r="W10" s="105" t="s">
        <v>156</v>
      </c>
      <c r="X10" s="110">
        <v>85</v>
      </c>
    </row>
    <row r="11" spans="1:24" ht="20.100000000000001" customHeight="1" x14ac:dyDescent="0.25">
      <c r="A11" s="106" t="s">
        <v>157</v>
      </c>
      <c r="B11" s="111">
        <v>150</v>
      </c>
      <c r="C11" s="106" t="s">
        <v>157</v>
      </c>
      <c r="D11" s="111">
        <v>150</v>
      </c>
      <c r="E11" s="106" t="s">
        <v>157</v>
      </c>
      <c r="F11" s="111">
        <v>150</v>
      </c>
      <c r="G11" s="106" t="s">
        <v>157</v>
      </c>
      <c r="H11" s="111">
        <v>150</v>
      </c>
      <c r="I11" s="106" t="s">
        <v>157</v>
      </c>
      <c r="J11" s="111">
        <v>150</v>
      </c>
      <c r="K11" s="106" t="s">
        <v>157</v>
      </c>
      <c r="L11" s="111">
        <v>150</v>
      </c>
      <c r="M11" s="106" t="s">
        <v>157</v>
      </c>
      <c r="N11" s="111">
        <v>150</v>
      </c>
      <c r="O11" s="106" t="s">
        <v>157</v>
      </c>
      <c r="P11" s="111">
        <v>150</v>
      </c>
      <c r="Q11" s="106" t="s">
        <v>157</v>
      </c>
      <c r="R11" s="111">
        <v>150</v>
      </c>
      <c r="S11" s="106" t="s">
        <v>157</v>
      </c>
      <c r="T11" s="111">
        <v>150</v>
      </c>
      <c r="U11" s="106" t="s">
        <v>157</v>
      </c>
      <c r="V11" s="111">
        <v>150</v>
      </c>
      <c r="W11" s="106" t="s">
        <v>157</v>
      </c>
      <c r="X11" s="111">
        <v>150</v>
      </c>
    </row>
    <row r="12" spans="1:24" ht="20.100000000000001" customHeight="1" x14ac:dyDescent="0.25">
      <c r="A12" s="106" t="s">
        <v>158</v>
      </c>
      <c r="B12" s="111">
        <v>250</v>
      </c>
      <c r="C12" s="106" t="s">
        <v>158</v>
      </c>
      <c r="D12" s="111">
        <v>250</v>
      </c>
      <c r="E12" s="106" t="s">
        <v>158</v>
      </c>
      <c r="F12" s="111">
        <v>250</v>
      </c>
      <c r="G12" s="106" t="s">
        <v>158</v>
      </c>
      <c r="H12" s="111">
        <v>250</v>
      </c>
      <c r="I12" s="106" t="s">
        <v>158</v>
      </c>
      <c r="J12" s="111">
        <v>250</v>
      </c>
      <c r="K12" s="106" t="s">
        <v>158</v>
      </c>
      <c r="L12" s="111">
        <v>250</v>
      </c>
      <c r="M12" s="106" t="s">
        <v>158</v>
      </c>
      <c r="N12" s="111">
        <v>250</v>
      </c>
      <c r="O12" s="106" t="s">
        <v>158</v>
      </c>
      <c r="P12" s="111">
        <v>250</v>
      </c>
      <c r="Q12" s="106" t="s">
        <v>158</v>
      </c>
      <c r="R12" s="111">
        <v>250</v>
      </c>
      <c r="S12" s="106" t="s">
        <v>158</v>
      </c>
      <c r="T12" s="111">
        <v>250</v>
      </c>
      <c r="U12" s="106" t="s">
        <v>158</v>
      </c>
      <c r="V12" s="111">
        <v>250</v>
      </c>
      <c r="W12" s="106" t="s">
        <v>158</v>
      </c>
      <c r="X12" s="111">
        <v>250</v>
      </c>
    </row>
    <row r="13" spans="1:24" ht="20.100000000000001" customHeight="1" x14ac:dyDescent="0.25">
      <c r="A13" s="107" t="s">
        <v>159</v>
      </c>
      <c r="B13" s="112">
        <v>350</v>
      </c>
      <c r="C13" s="107" t="s">
        <v>159</v>
      </c>
      <c r="D13" s="112">
        <v>350</v>
      </c>
      <c r="E13" s="107" t="s">
        <v>159</v>
      </c>
      <c r="F13" s="112">
        <v>350</v>
      </c>
      <c r="G13" s="107" t="s">
        <v>159</v>
      </c>
      <c r="H13" s="112">
        <v>350</v>
      </c>
      <c r="I13" s="107" t="s">
        <v>159</v>
      </c>
      <c r="J13" s="112">
        <v>350</v>
      </c>
      <c r="K13" s="107" t="s">
        <v>159</v>
      </c>
      <c r="L13" s="112">
        <v>350</v>
      </c>
      <c r="M13" s="107" t="s">
        <v>159</v>
      </c>
      <c r="N13" s="112">
        <v>350</v>
      </c>
      <c r="O13" s="107" t="s">
        <v>159</v>
      </c>
      <c r="P13" s="112">
        <v>350</v>
      </c>
      <c r="Q13" s="107" t="s">
        <v>159</v>
      </c>
      <c r="R13" s="112">
        <v>350</v>
      </c>
      <c r="S13" s="107" t="s">
        <v>159</v>
      </c>
      <c r="T13" s="112">
        <v>350</v>
      </c>
      <c r="U13" s="107" t="s">
        <v>159</v>
      </c>
      <c r="V13" s="112">
        <v>350</v>
      </c>
      <c r="W13" s="107" t="s">
        <v>159</v>
      </c>
      <c r="X13" s="112">
        <v>350</v>
      </c>
    </row>
    <row r="14" spans="1:24" ht="20.100000000000001" customHeight="1" x14ac:dyDescent="0.25">
      <c r="A14" s="107" t="s">
        <v>160</v>
      </c>
      <c r="B14" s="112">
        <v>280</v>
      </c>
      <c r="C14" s="107" t="s">
        <v>160</v>
      </c>
      <c r="D14" s="112">
        <v>280</v>
      </c>
      <c r="E14" s="107" t="s">
        <v>160</v>
      </c>
      <c r="F14" s="112">
        <v>280</v>
      </c>
      <c r="G14" s="107" t="s">
        <v>160</v>
      </c>
      <c r="H14" s="112">
        <v>280</v>
      </c>
      <c r="I14" s="107" t="s">
        <v>160</v>
      </c>
      <c r="J14" s="112">
        <v>280</v>
      </c>
      <c r="K14" s="107" t="s">
        <v>160</v>
      </c>
      <c r="L14" s="112">
        <v>280</v>
      </c>
      <c r="M14" s="107" t="s">
        <v>160</v>
      </c>
      <c r="N14" s="112">
        <v>280</v>
      </c>
      <c r="O14" s="107" t="s">
        <v>160</v>
      </c>
      <c r="P14" s="112">
        <v>280</v>
      </c>
      <c r="Q14" s="107" t="s">
        <v>160</v>
      </c>
      <c r="R14" s="112">
        <v>280</v>
      </c>
      <c r="S14" s="107" t="s">
        <v>160</v>
      </c>
      <c r="T14" s="112">
        <v>280</v>
      </c>
      <c r="U14" s="107" t="s">
        <v>160</v>
      </c>
      <c r="V14" s="112">
        <v>280</v>
      </c>
      <c r="W14" s="107" t="s">
        <v>160</v>
      </c>
      <c r="X14" s="112">
        <v>280</v>
      </c>
    </row>
    <row r="15" spans="1:24" ht="20.100000000000001" customHeight="1" x14ac:dyDescent="0.25">
      <c r="A15" s="108" t="s">
        <v>161</v>
      </c>
      <c r="B15" s="113">
        <v>15.99</v>
      </c>
      <c r="C15" s="108" t="s">
        <v>161</v>
      </c>
      <c r="D15" s="113">
        <v>15.99</v>
      </c>
      <c r="E15" s="108" t="s">
        <v>161</v>
      </c>
      <c r="F15" s="113">
        <v>15.99</v>
      </c>
      <c r="G15" s="108" t="s">
        <v>161</v>
      </c>
      <c r="H15" s="113">
        <v>15.99</v>
      </c>
      <c r="I15" s="108" t="s">
        <v>161</v>
      </c>
      <c r="J15" s="113">
        <v>15.99</v>
      </c>
      <c r="K15" s="108" t="s">
        <v>161</v>
      </c>
      <c r="L15" s="113">
        <v>15.99</v>
      </c>
      <c r="M15" s="108" t="s">
        <v>161</v>
      </c>
      <c r="N15" s="113">
        <v>15.99</v>
      </c>
      <c r="O15" s="108" t="s">
        <v>161</v>
      </c>
      <c r="P15" s="113">
        <v>15.99</v>
      </c>
      <c r="Q15" s="108" t="s">
        <v>161</v>
      </c>
      <c r="R15" s="113">
        <v>15.99</v>
      </c>
      <c r="S15" s="108" t="s">
        <v>161</v>
      </c>
      <c r="T15" s="113">
        <v>15.99</v>
      </c>
      <c r="U15" s="108" t="s">
        <v>161</v>
      </c>
      <c r="V15" s="113">
        <v>15.99</v>
      </c>
      <c r="W15" s="108" t="s">
        <v>161</v>
      </c>
      <c r="X15" s="113">
        <v>15.99</v>
      </c>
    </row>
    <row r="16" spans="1:24" ht="20.100000000000001" customHeight="1" x14ac:dyDescent="0.25">
      <c r="A16" s="108" t="s">
        <v>162</v>
      </c>
      <c r="B16" s="113">
        <v>10.99</v>
      </c>
      <c r="C16" s="108" t="s">
        <v>162</v>
      </c>
      <c r="D16" s="113">
        <v>10.99</v>
      </c>
      <c r="E16" s="108" t="s">
        <v>162</v>
      </c>
      <c r="F16" s="113">
        <v>10.99</v>
      </c>
      <c r="G16" s="108" t="s">
        <v>162</v>
      </c>
      <c r="H16" s="113">
        <v>10.99</v>
      </c>
      <c r="I16" s="108" t="s">
        <v>162</v>
      </c>
      <c r="J16" s="113">
        <v>10.99</v>
      </c>
      <c r="K16" s="108" t="s">
        <v>162</v>
      </c>
      <c r="L16" s="113">
        <v>10.99</v>
      </c>
      <c r="M16" s="108" t="s">
        <v>162</v>
      </c>
      <c r="N16" s="113">
        <v>10.99</v>
      </c>
      <c r="O16" s="108" t="s">
        <v>162</v>
      </c>
      <c r="P16" s="113">
        <v>10.99</v>
      </c>
      <c r="Q16" s="108" t="s">
        <v>162</v>
      </c>
      <c r="R16" s="113">
        <v>10.99</v>
      </c>
      <c r="S16" s="108" t="s">
        <v>162</v>
      </c>
      <c r="T16" s="113">
        <v>10.99</v>
      </c>
      <c r="U16" s="108" t="s">
        <v>162</v>
      </c>
      <c r="V16" s="113">
        <v>10.99</v>
      </c>
      <c r="W16" s="108" t="s">
        <v>162</v>
      </c>
      <c r="X16" s="113">
        <v>10.99</v>
      </c>
    </row>
    <row r="17" spans="1:24" ht="20.100000000000001" customHeight="1" x14ac:dyDescent="0.25">
      <c r="A17" s="108" t="s">
        <v>163</v>
      </c>
      <c r="B17" s="113">
        <v>49.99</v>
      </c>
      <c r="C17" s="108" t="s">
        <v>163</v>
      </c>
      <c r="D17" s="113">
        <v>49.99</v>
      </c>
      <c r="E17" s="108" t="s">
        <v>163</v>
      </c>
      <c r="F17" s="113">
        <v>49.99</v>
      </c>
      <c r="G17" s="108" t="s">
        <v>163</v>
      </c>
      <c r="H17" s="113">
        <v>49.99</v>
      </c>
      <c r="I17" s="108" t="s">
        <v>163</v>
      </c>
      <c r="J17" s="113">
        <v>49.99</v>
      </c>
      <c r="K17" s="108" t="s">
        <v>163</v>
      </c>
      <c r="L17" s="113">
        <v>49.99</v>
      </c>
      <c r="M17" s="108" t="s">
        <v>163</v>
      </c>
      <c r="N17" s="113">
        <v>49.99</v>
      </c>
      <c r="O17" s="108" t="s">
        <v>163</v>
      </c>
      <c r="P17" s="113">
        <v>49.99</v>
      </c>
      <c r="Q17" s="108" t="s">
        <v>163</v>
      </c>
      <c r="R17" s="113">
        <v>49.99</v>
      </c>
      <c r="S17" s="108" t="s">
        <v>163</v>
      </c>
      <c r="T17" s="113">
        <v>49.99</v>
      </c>
      <c r="U17" s="108" t="s">
        <v>163</v>
      </c>
      <c r="V17" s="113">
        <v>49.99</v>
      </c>
      <c r="W17" s="108" t="s">
        <v>163</v>
      </c>
      <c r="X17" s="113">
        <v>49.99</v>
      </c>
    </row>
    <row r="18" spans="1:24" ht="20.100000000000001" customHeight="1" x14ac:dyDescent="0.25">
      <c r="A18" s="106" t="s">
        <v>164</v>
      </c>
      <c r="B18" s="111">
        <v>25</v>
      </c>
      <c r="C18" s="106" t="s">
        <v>164</v>
      </c>
      <c r="D18" s="111">
        <v>25</v>
      </c>
      <c r="E18" s="106" t="s">
        <v>164</v>
      </c>
      <c r="F18" s="111">
        <v>25</v>
      </c>
      <c r="G18" s="106" t="s">
        <v>164</v>
      </c>
      <c r="H18" s="111">
        <v>25</v>
      </c>
      <c r="I18" s="106" t="s">
        <v>164</v>
      </c>
      <c r="J18" s="111">
        <v>25</v>
      </c>
      <c r="K18" s="106" t="s">
        <v>164</v>
      </c>
      <c r="L18" s="111">
        <v>25</v>
      </c>
      <c r="M18" s="106" t="s">
        <v>164</v>
      </c>
      <c r="N18" s="111">
        <v>25</v>
      </c>
      <c r="O18" s="106" t="s">
        <v>164</v>
      </c>
      <c r="P18" s="111">
        <v>25</v>
      </c>
      <c r="Q18" s="106" t="s">
        <v>164</v>
      </c>
      <c r="R18" s="111">
        <v>25</v>
      </c>
      <c r="S18" s="106" t="s">
        <v>164</v>
      </c>
      <c r="T18" s="111">
        <v>25</v>
      </c>
      <c r="U18" s="106" t="s">
        <v>164</v>
      </c>
      <c r="V18" s="111">
        <v>25</v>
      </c>
      <c r="W18" s="106" t="s">
        <v>164</v>
      </c>
      <c r="X18" s="111">
        <v>25</v>
      </c>
    </row>
    <row r="19" spans="1:24" ht="20.100000000000001" customHeight="1" x14ac:dyDescent="0.25">
      <c r="A19" s="108" t="s">
        <v>165</v>
      </c>
      <c r="B19" s="113">
        <v>2.99</v>
      </c>
      <c r="C19" s="108" t="s">
        <v>165</v>
      </c>
      <c r="D19" s="113">
        <v>2.99</v>
      </c>
      <c r="E19" s="108" t="s">
        <v>165</v>
      </c>
      <c r="F19" s="113">
        <v>2.99</v>
      </c>
      <c r="G19" s="108" t="s">
        <v>165</v>
      </c>
      <c r="H19" s="113">
        <v>2.99</v>
      </c>
      <c r="I19" s="108" t="s">
        <v>165</v>
      </c>
      <c r="J19" s="113">
        <v>2.99</v>
      </c>
      <c r="K19" s="108" t="s">
        <v>165</v>
      </c>
      <c r="L19" s="113">
        <v>2.99</v>
      </c>
      <c r="M19" s="108" t="s">
        <v>165</v>
      </c>
      <c r="N19" s="113">
        <v>2.99</v>
      </c>
      <c r="O19" s="108" t="s">
        <v>165</v>
      </c>
      <c r="P19" s="113">
        <v>2.99</v>
      </c>
      <c r="Q19" s="108" t="s">
        <v>165</v>
      </c>
      <c r="R19" s="113">
        <v>2.99</v>
      </c>
      <c r="S19" s="108" t="s">
        <v>165</v>
      </c>
      <c r="T19" s="113">
        <v>2.99</v>
      </c>
      <c r="U19" s="108" t="s">
        <v>165</v>
      </c>
      <c r="V19" s="113">
        <v>2.99</v>
      </c>
      <c r="W19" s="108" t="s">
        <v>165</v>
      </c>
      <c r="X19" s="113">
        <v>2.99</v>
      </c>
    </row>
    <row r="20" spans="1:24" ht="20.100000000000001" customHeight="1" x14ac:dyDescent="0.25">
      <c r="A20" s="114"/>
      <c r="B20" s="115"/>
      <c r="C20" s="114"/>
      <c r="D20" s="115"/>
      <c r="E20" s="114"/>
      <c r="F20" s="115"/>
      <c r="G20" s="114"/>
      <c r="H20" s="115"/>
      <c r="I20" s="114"/>
      <c r="J20" s="115"/>
      <c r="K20" s="114"/>
      <c r="L20" s="115"/>
      <c r="M20" s="114"/>
      <c r="N20" s="115"/>
      <c r="O20" s="114"/>
      <c r="P20" s="115"/>
      <c r="Q20" s="114"/>
      <c r="R20" s="115"/>
      <c r="S20" s="114"/>
      <c r="T20" s="115"/>
      <c r="U20" s="114"/>
      <c r="V20" s="115"/>
      <c r="W20" s="114"/>
      <c r="X20" s="115"/>
    </row>
    <row r="21" spans="1:24" ht="20.100000000000001" customHeight="1" x14ac:dyDescent="0.25">
      <c r="A21" s="114"/>
      <c r="B21" s="115"/>
      <c r="C21" s="114"/>
      <c r="D21" s="115"/>
      <c r="E21" s="114"/>
      <c r="F21" s="115"/>
      <c r="G21" s="114"/>
      <c r="H21" s="115"/>
      <c r="I21" s="114"/>
      <c r="J21" s="115"/>
      <c r="K21" s="114"/>
      <c r="L21" s="115"/>
      <c r="M21" s="114"/>
      <c r="N21" s="115"/>
      <c r="O21" s="114"/>
      <c r="P21" s="115"/>
      <c r="Q21" s="114"/>
      <c r="R21" s="115"/>
      <c r="S21" s="114"/>
      <c r="T21" s="115"/>
      <c r="U21" s="114"/>
      <c r="V21" s="115"/>
      <c r="W21" s="114"/>
      <c r="X21" s="115"/>
    </row>
    <row r="22" spans="1:24" ht="20.100000000000001" customHeight="1" x14ac:dyDescent="0.25">
      <c r="A22" s="114"/>
      <c r="B22" s="115"/>
      <c r="C22" s="114"/>
      <c r="D22" s="115"/>
      <c r="E22" s="114"/>
      <c r="F22" s="115"/>
      <c r="G22" s="114"/>
      <c r="H22" s="115"/>
      <c r="I22" s="114"/>
      <c r="J22" s="115"/>
      <c r="K22" s="114"/>
      <c r="L22" s="115"/>
      <c r="M22" s="114"/>
      <c r="N22" s="115"/>
      <c r="O22" s="114"/>
      <c r="P22" s="115"/>
      <c r="Q22" s="114"/>
      <c r="R22" s="115"/>
      <c r="S22" s="114"/>
      <c r="T22" s="115"/>
      <c r="U22" s="114"/>
      <c r="V22" s="115"/>
      <c r="W22" s="114"/>
      <c r="X22" s="115"/>
    </row>
    <row r="23" spans="1:24" ht="20.100000000000001" customHeight="1" x14ac:dyDescent="0.25">
      <c r="A23" s="114"/>
      <c r="B23" s="115"/>
      <c r="C23" s="114"/>
      <c r="D23" s="115"/>
      <c r="E23" s="114"/>
      <c r="F23" s="115"/>
      <c r="G23" s="114"/>
      <c r="H23" s="115"/>
      <c r="I23" s="114"/>
      <c r="J23" s="115"/>
      <c r="K23" s="114"/>
      <c r="L23" s="115"/>
      <c r="M23" s="114"/>
      <c r="N23" s="115"/>
      <c r="O23" s="114"/>
      <c r="P23" s="115"/>
      <c r="Q23" s="114"/>
      <c r="R23" s="115"/>
      <c r="S23" s="114"/>
      <c r="T23" s="115"/>
      <c r="U23" s="114"/>
      <c r="V23" s="115"/>
      <c r="W23" s="114"/>
      <c r="X23" s="115"/>
    </row>
    <row r="24" spans="1:24" ht="20.100000000000001" customHeight="1" x14ac:dyDescent="0.25">
      <c r="A24" s="114"/>
      <c r="B24" s="115"/>
      <c r="C24" s="114"/>
      <c r="D24" s="115"/>
      <c r="E24" s="114"/>
      <c r="F24" s="115"/>
      <c r="G24" s="114"/>
      <c r="H24" s="115"/>
      <c r="I24" s="114"/>
      <c r="J24" s="115"/>
      <c r="K24" s="114"/>
      <c r="L24" s="115"/>
      <c r="M24" s="114"/>
      <c r="N24" s="115"/>
      <c r="O24" s="114"/>
      <c r="P24" s="115"/>
      <c r="Q24" s="114"/>
      <c r="R24" s="115"/>
      <c r="S24" s="114"/>
      <c r="T24" s="115"/>
      <c r="U24" s="114"/>
      <c r="V24" s="115"/>
      <c r="W24" s="114"/>
      <c r="X24" s="115"/>
    </row>
    <row r="25" spans="1:24" ht="26.1" customHeight="1" x14ac:dyDescent="0.25">
      <c r="A25" s="88" t="s">
        <v>38</v>
      </c>
      <c r="B25" s="60">
        <f>SUM(B5:B24)</f>
        <v>3054.9599999999991</v>
      </c>
      <c r="C25" s="88" t="s">
        <v>38</v>
      </c>
      <c r="D25" s="60">
        <f>SUM(D5:D24)</f>
        <v>3054.9599999999991</v>
      </c>
      <c r="E25" s="88" t="s">
        <v>38</v>
      </c>
      <c r="F25" s="60">
        <f>SUM(F5:F24)</f>
        <v>3054.9599999999991</v>
      </c>
      <c r="G25" s="88" t="s">
        <v>38</v>
      </c>
      <c r="H25" s="60">
        <f>SUM(H5:H24)</f>
        <v>3054.9599999999991</v>
      </c>
      <c r="I25" s="88" t="s">
        <v>38</v>
      </c>
      <c r="J25" s="60">
        <f>SUM(J5:J24)</f>
        <v>3054.9599999999991</v>
      </c>
      <c r="K25" s="88" t="s">
        <v>38</v>
      </c>
      <c r="L25" s="60">
        <f>SUM(L5:L24)</f>
        <v>3054.9599999999991</v>
      </c>
      <c r="M25" s="88" t="s">
        <v>38</v>
      </c>
      <c r="N25" s="60">
        <f>SUM(N5:N24)</f>
        <v>3054.9599999999991</v>
      </c>
      <c r="O25" s="88" t="s">
        <v>38</v>
      </c>
      <c r="P25" s="60">
        <f>SUM(P5:P24)</f>
        <v>3054.9599999999991</v>
      </c>
      <c r="Q25" s="88" t="s">
        <v>38</v>
      </c>
      <c r="R25" s="60">
        <f>SUM(R5:R24)</f>
        <v>3054.9599999999991</v>
      </c>
      <c r="S25" s="88" t="s">
        <v>38</v>
      </c>
      <c r="T25" s="60">
        <f>SUM(T5:T24)</f>
        <v>3054.9599999999991</v>
      </c>
      <c r="U25" s="88" t="s">
        <v>38</v>
      </c>
      <c r="V25" s="60">
        <f>SUM(V5:V24)</f>
        <v>3054.9599999999991</v>
      </c>
      <c r="W25" s="88" t="s">
        <v>38</v>
      </c>
      <c r="X25" s="60">
        <f>SUM(X5:X24)</f>
        <v>3054.9599999999991</v>
      </c>
    </row>
    <row r="26" spans="1:24" ht="8.1" customHeight="1"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row>
    <row r="27" spans="1:24" ht="26.1" customHeight="1" x14ac:dyDescent="0.25">
      <c r="A27" s="86" t="s">
        <v>166</v>
      </c>
      <c r="B27" s="76"/>
      <c r="C27" s="76"/>
      <c r="D27" s="76"/>
      <c r="E27" s="76"/>
      <c r="F27" s="59"/>
      <c r="G27" s="73"/>
      <c r="H27" s="73"/>
      <c r="I27" s="73"/>
      <c r="J27" s="73"/>
      <c r="K27" s="73"/>
      <c r="L27" s="73"/>
      <c r="M27" s="73"/>
      <c r="N27" s="73"/>
      <c r="O27" s="73"/>
      <c r="P27" s="73"/>
      <c r="Q27" s="73"/>
      <c r="R27" s="73"/>
      <c r="S27" s="73"/>
      <c r="T27" s="73"/>
      <c r="U27" s="73"/>
      <c r="V27" s="73"/>
      <c r="W27" s="73"/>
      <c r="X27" s="73"/>
    </row>
    <row r="28" spans="1:24" ht="21.95" customHeight="1" x14ac:dyDescent="0.25">
      <c r="A28" s="89" t="s">
        <v>22</v>
      </c>
      <c r="B28" s="90"/>
      <c r="C28" s="91" t="s">
        <v>24</v>
      </c>
      <c r="D28" s="92"/>
      <c r="E28" s="93" t="s">
        <v>26</v>
      </c>
      <c r="F28" s="94"/>
      <c r="G28" s="95" t="s">
        <v>28</v>
      </c>
      <c r="H28" s="96"/>
      <c r="I28" s="73"/>
      <c r="J28" s="73"/>
      <c r="K28" s="73"/>
      <c r="L28" s="73"/>
      <c r="M28" s="73"/>
      <c r="N28" s="73"/>
      <c r="O28" s="73"/>
      <c r="P28" s="73"/>
      <c r="Q28" s="73"/>
      <c r="R28" s="73"/>
      <c r="S28" s="73"/>
      <c r="T28" s="73"/>
      <c r="U28" s="73"/>
      <c r="V28" s="73"/>
      <c r="W28" s="73"/>
      <c r="X28" s="73"/>
    </row>
    <row r="29" spans="1:24" ht="21.95" customHeight="1" x14ac:dyDescent="0.25">
      <c r="A29" s="97" t="s">
        <v>30</v>
      </c>
      <c r="B29" s="98"/>
      <c r="C29" s="99" t="s">
        <v>32</v>
      </c>
      <c r="D29" s="63"/>
      <c r="E29" s="100" t="s">
        <v>34</v>
      </c>
      <c r="F29" s="101"/>
      <c r="G29" s="102" t="s">
        <v>36</v>
      </c>
      <c r="H29" s="103"/>
      <c r="I29" s="73"/>
      <c r="J29" s="73"/>
      <c r="K29" s="73"/>
      <c r="L29" s="73"/>
      <c r="M29" s="73"/>
      <c r="N29" s="73"/>
      <c r="O29" s="73"/>
      <c r="P29" s="73"/>
      <c r="Q29" s="73"/>
      <c r="R29" s="73"/>
      <c r="S29" s="73"/>
      <c r="T29" s="73"/>
      <c r="U29" s="73"/>
      <c r="V29" s="73"/>
      <c r="W29" s="73"/>
      <c r="X29" s="73"/>
    </row>
  </sheetData>
  <sheetProtection sheet="1" objects="1" scenarios="1"/>
  <mergeCells count="15">
    <mergeCell ref="A2:X2"/>
    <mergeCell ref="A27:F27"/>
    <mergeCell ref="A1:X1"/>
    <mergeCell ref="M3:N3"/>
    <mergeCell ref="C3:D3"/>
    <mergeCell ref="A3:B3"/>
    <mergeCell ref="G3:H3"/>
    <mergeCell ref="E3:F3"/>
    <mergeCell ref="K3:L3"/>
    <mergeCell ref="I3:J3"/>
    <mergeCell ref="S3:T3"/>
    <mergeCell ref="O3:P3"/>
    <mergeCell ref="W3:X3"/>
    <mergeCell ref="Q3:R3"/>
    <mergeCell ref="U3:V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5A5A6"/>
  </sheetPr>
  <dimension ref="A1:B46"/>
  <sheetViews>
    <sheetView tabSelected="1" workbookViewId="0">
      <pane ySplit="3" topLeftCell="A4" activePane="bottomLeft" state="frozen"/>
      <selection pane="bottomLeft" activeCell="B29" sqref="B29"/>
    </sheetView>
  </sheetViews>
  <sheetFormatPr baseColWidth="10" defaultColWidth="9.140625" defaultRowHeight="15" x14ac:dyDescent="0.25"/>
  <cols>
    <col min="1" max="1" width="10.42578125" customWidth="1"/>
    <col min="2" max="2" width="114.28515625" customWidth="1"/>
  </cols>
  <sheetData>
    <row r="1" spans="1:2" ht="35.1" customHeight="1" x14ac:dyDescent="0.25">
      <c r="A1" s="34" t="s">
        <v>0</v>
      </c>
      <c r="B1" s="33"/>
    </row>
    <row r="2" spans="1:2" ht="24.95" customHeight="1" x14ac:dyDescent="0.25">
      <c r="A2" s="47" t="s">
        <v>167</v>
      </c>
      <c r="B2" s="33"/>
    </row>
    <row r="3" spans="1:2" ht="9.9499999999999993" customHeight="1" x14ac:dyDescent="0.25"/>
    <row r="4" spans="1:2" ht="27.95" customHeight="1" x14ac:dyDescent="0.25">
      <c r="A4" s="46" t="s">
        <v>168</v>
      </c>
      <c r="B4" s="33"/>
    </row>
    <row r="5" spans="1:2" ht="39.950000000000003" customHeight="1" x14ac:dyDescent="0.25">
      <c r="A5" s="49" t="s">
        <v>169</v>
      </c>
      <c r="B5" s="33"/>
    </row>
    <row r="6" spans="1:2" ht="9.9499999999999993" customHeight="1" x14ac:dyDescent="0.25"/>
    <row r="7" spans="1:2" ht="27.95" customHeight="1" x14ac:dyDescent="0.25">
      <c r="A7" s="48" t="s">
        <v>170</v>
      </c>
      <c r="B7" s="33"/>
    </row>
    <row r="8" spans="1:2" ht="27.95" customHeight="1" x14ac:dyDescent="0.25">
      <c r="A8" s="22" t="s">
        <v>171</v>
      </c>
      <c r="B8" s="5" t="s">
        <v>172</v>
      </c>
    </row>
    <row r="9" spans="1:2" ht="27.95" customHeight="1" x14ac:dyDescent="0.25">
      <c r="A9" s="20"/>
      <c r="B9" s="2" t="s">
        <v>173</v>
      </c>
    </row>
    <row r="10" spans="1:2" ht="27.95" customHeight="1" x14ac:dyDescent="0.25">
      <c r="A10" s="23" t="s">
        <v>174</v>
      </c>
      <c r="B10" s="10" t="s">
        <v>175</v>
      </c>
    </row>
    <row r="11" spans="1:2" ht="27.95" customHeight="1" x14ac:dyDescent="0.25">
      <c r="A11" s="21"/>
      <c r="B11" s="13" t="s">
        <v>176</v>
      </c>
    </row>
    <row r="12" spans="1:2" ht="27.95" customHeight="1" x14ac:dyDescent="0.25">
      <c r="A12" s="22" t="s">
        <v>177</v>
      </c>
      <c r="B12" s="5" t="s">
        <v>178</v>
      </c>
    </row>
    <row r="13" spans="1:2" ht="27.95" customHeight="1" x14ac:dyDescent="0.25">
      <c r="A13" s="20"/>
      <c r="B13" s="2" t="s">
        <v>179</v>
      </c>
    </row>
    <row r="14" spans="1:2" ht="27.95" customHeight="1" x14ac:dyDescent="0.25">
      <c r="A14" s="23" t="s">
        <v>180</v>
      </c>
      <c r="B14" s="10" t="s">
        <v>181</v>
      </c>
    </row>
    <row r="15" spans="1:2" ht="27.95" customHeight="1" x14ac:dyDescent="0.25">
      <c r="A15" s="21"/>
      <c r="B15" s="13" t="s">
        <v>182</v>
      </c>
    </row>
    <row r="16" spans="1:2" ht="27.95" customHeight="1" x14ac:dyDescent="0.25">
      <c r="A16" s="22" t="s">
        <v>183</v>
      </c>
      <c r="B16" s="5" t="s">
        <v>184</v>
      </c>
    </row>
    <row r="17" spans="1:2" ht="27.95" customHeight="1" x14ac:dyDescent="0.25">
      <c r="A17" s="20"/>
      <c r="B17" s="2" t="s">
        <v>185</v>
      </c>
    </row>
    <row r="18" spans="1:2" ht="27.95" customHeight="1" x14ac:dyDescent="0.25">
      <c r="A18" s="23" t="s">
        <v>186</v>
      </c>
      <c r="B18" s="10" t="s">
        <v>187</v>
      </c>
    </row>
    <row r="19" spans="1:2" ht="27.95" customHeight="1" x14ac:dyDescent="0.25">
      <c r="A19" s="21"/>
      <c r="B19" s="13" t="s">
        <v>188</v>
      </c>
    </row>
    <row r="20" spans="1:2" ht="27.95" customHeight="1" x14ac:dyDescent="0.25">
      <c r="A20" s="22" t="s">
        <v>189</v>
      </c>
      <c r="B20" s="5" t="s">
        <v>190</v>
      </c>
    </row>
    <row r="21" spans="1:2" ht="27.95" customHeight="1" x14ac:dyDescent="0.25">
      <c r="A21" s="20"/>
      <c r="B21" s="2" t="s">
        <v>191</v>
      </c>
    </row>
    <row r="22" spans="1:2" ht="9.9499999999999993" customHeight="1" x14ac:dyDescent="0.25"/>
    <row r="23" spans="1:2" ht="27.95" customHeight="1" x14ac:dyDescent="0.25">
      <c r="A23" s="52" t="s">
        <v>192</v>
      </c>
      <c r="B23" s="33"/>
    </row>
    <row r="24" spans="1:2" ht="35.1" customHeight="1" x14ac:dyDescent="0.25">
      <c r="A24" s="24" t="s">
        <v>193</v>
      </c>
      <c r="B24" s="25" t="s">
        <v>194</v>
      </c>
    </row>
    <row r="25" spans="1:2" ht="35.1" customHeight="1" x14ac:dyDescent="0.25">
      <c r="A25" s="26" t="s">
        <v>193</v>
      </c>
      <c r="B25" s="27" t="s">
        <v>195</v>
      </c>
    </row>
    <row r="26" spans="1:2" ht="35.1" customHeight="1" x14ac:dyDescent="0.25">
      <c r="A26" s="24" t="s">
        <v>193</v>
      </c>
      <c r="B26" s="25" t="s">
        <v>196</v>
      </c>
    </row>
    <row r="27" spans="1:2" ht="35.1" customHeight="1" x14ac:dyDescent="0.25">
      <c r="A27" s="26" t="s">
        <v>193</v>
      </c>
      <c r="B27" s="27" t="s">
        <v>197</v>
      </c>
    </row>
    <row r="28" spans="1:2" ht="35.1" customHeight="1" x14ac:dyDescent="0.25">
      <c r="A28" s="24" t="s">
        <v>193</v>
      </c>
      <c r="B28" s="25" t="s">
        <v>198</v>
      </c>
    </row>
    <row r="29" spans="1:2" ht="35.1" customHeight="1" x14ac:dyDescent="0.25">
      <c r="A29" s="26" t="s">
        <v>193</v>
      </c>
      <c r="B29" s="27" t="s">
        <v>199</v>
      </c>
    </row>
    <row r="30" spans="1:2" ht="35.1" customHeight="1" x14ac:dyDescent="0.25">
      <c r="A30" s="24" t="s">
        <v>193</v>
      </c>
      <c r="B30" s="25" t="s">
        <v>200</v>
      </c>
    </row>
    <row r="31" spans="1:2" ht="9.9499999999999993" customHeight="1" x14ac:dyDescent="0.25"/>
    <row r="32" spans="1:2" ht="27.95" customHeight="1" x14ac:dyDescent="0.25">
      <c r="A32" s="51" t="s">
        <v>201</v>
      </c>
      <c r="B32" s="33"/>
    </row>
    <row r="33" spans="1:2" ht="30" customHeight="1" x14ac:dyDescent="0.25">
      <c r="A33" s="28" t="s">
        <v>202</v>
      </c>
      <c r="B33" s="5" t="s">
        <v>203</v>
      </c>
    </row>
    <row r="34" spans="1:2" ht="30" customHeight="1" x14ac:dyDescent="0.25">
      <c r="A34" s="29" t="s">
        <v>204</v>
      </c>
      <c r="B34" s="2" t="s">
        <v>205</v>
      </c>
    </row>
    <row r="35" spans="1:2" ht="30" customHeight="1" x14ac:dyDescent="0.25">
      <c r="A35" s="30" t="s">
        <v>202</v>
      </c>
      <c r="B35" s="10" t="s">
        <v>206</v>
      </c>
    </row>
    <row r="36" spans="1:2" ht="30" customHeight="1" x14ac:dyDescent="0.25">
      <c r="A36" s="31" t="s">
        <v>204</v>
      </c>
      <c r="B36" s="13" t="s">
        <v>207</v>
      </c>
    </row>
    <row r="37" spans="1:2" ht="30" customHeight="1" x14ac:dyDescent="0.25">
      <c r="A37" s="28" t="s">
        <v>202</v>
      </c>
      <c r="B37" s="5" t="s">
        <v>208</v>
      </c>
    </row>
    <row r="38" spans="1:2" ht="30" customHeight="1" x14ac:dyDescent="0.25">
      <c r="A38" s="29" t="s">
        <v>204</v>
      </c>
      <c r="B38" s="2" t="s">
        <v>209</v>
      </c>
    </row>
    <row r="39" spans="1:2" ht="30" customHeight="1" x14ac:dyDescent="0.25">
      <c r="A39" s="30" t="s">
        <v>202</v>
      </c>
      <c r="B39" s="10" t="s">
        <v>210</v>
      </c>
    </row>
    <row r="40" spans="1:2" ht="30" customHeight="1" x14ac:dyDescent="0.25">
      <c r="A40" s="31" t="s">
        <v>204</v>
      </c>
      <c r="B40" s="13" t="s">
        <v>211</v>
      </c>
    </row>
    <row r="41" spans="1:2" ht="30" customHeight="1" x14ac:dyDescent="0.25">
      <c r="A41" s="28" t="s">
        <v>202</v>
      </c>
      <c r="B41" s="5" t="s">
        <v>212</v>
      </c>
    </row>
    <row r="42" spans="1:2" ht="30" customHeight="1" x14ac:dyDescent="0.25">
      <c r="A42" s="29" t="s">
        <v>204</v>
      </c>
      <c r="B42" s="2" t="s">
        <v>213</v>
      </c>
    </row>
    <row r="43" spans="1:2" ht="30" customHeight="1" x14ac:dyDescent="0.25">
      <c r="A43" s="30" t="s">
        <v>202</v>
      </c>
      <c r="B43" s="10" t="s">
        <v>214</v>
      </c>
    </row>
    <row r="44" spans="1:2" ht="30" customHeight="1" x14ac:dyDescent="0.25">
      <c r="A44" s="31" t="s">
        <v>204</v>
      </c>
      <c r="B44" s="13" t="s">
        <v>215</v>
      </c>
    </row>
    <row r="45" spans="1:2" ht="9.9499999999999993" customHeight="1" x14ac:dyDescent="0.25"/>
    <row r="46" spans="1:2" ht="24.95" customHeight="1" x14ac:dyDescent="0.25">
      <c r="A46" s="50" t="s">
        <v>216</v>
      </c>
      <c r="B46" s="33"/>
    </row>
  </sheetData>
  <sheetProtection sheet="1" objects="1" scenarios="1"/>
  <mergeCells count="8">
    <mergeCell ref="A1:B1"/>
    <mergeCell ref="A23:B23"/>
    <mergeCell ref="A4:B4"/>
    <mergeCell ref="A2:B2"/>
    <mergeCell ref="A7:B7"/>
    <mergeCell ref="A5:B5"/>
    <mergeCell ref="A46:B46"/>
    <mergeCell ref="A32:B3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 Dashboard</vt:lpstr>
      <vt:lpstr>📋 Bill List</vt:lpstr>
      <vt:lpstr>✅ Monthly Checklist</vt:lpstr>
      <vt:lpstr>📱 Subscription Tracker</vt:lpstr>
      <vt:lpstr>📅 Annual Calendar</vt:lpstr>
      <vt:lpst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Belkis Aslani</cp:lastModifiedBy>
  <dcterms:created xsi:type="dcterms:W3CDTF">2026-02-23T13:18:32Z</dcterms:created>
  <dcterms:modified xsi:type="dcterms:W3CDTF">2026-02-23T18:49:33Z</dcterms:modified>
</cp:coreProperties>
</file>