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belki\Desktop\Claude\EtsyShop\Products\03-Savings-Goal-Tracker\"/>
    </mc:Choice>
  </mc:AlternateContent>
  <xr:revisionPtr revIDLastSave="0" documentId="13_ncr:1_{C403E050-452D-411B-B0D5-D966666D4828}" xr6:coauthVersionLast="47" xr6:coauthVersionMax="47" xr10:uidLastSave="{00000000-0000-0000-0000-000000000000}"/>
  <bookViews>
    <workbookView xWindow="-120" yWindow="-120" windowWidth="38640" windowHeight="21120" activeTab="4" xr2:uid="{00000000-000D-0000-FFFF-FFFF00000000}"/>
  </bookViews>
  <sheets>
    <sheet name="Dashboard" sheetId="1" r:id="rId1"/>
    <sheet name="Goals Setup" sheetId="2" r:id="rId2"/>
    <sheet name="Sinking Funds" sheetId="3" r:id="rId3"/>
    <sheet name="Contribution Log" sheetId="4" r:id="rId4"/>
    <sheet name="Instruction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2" l="1"/>
  <c r="J4" i="2"/>
  <c r="J5" i="2"/>
  <c r="J6" i="2"/>
  <c r="J7" i="2"/>
  <c r="K7" i="2" s="1"/>
  <c r="J8" i="2"/>
  <c r="K8" i="2" s="1"/>
  <c r="J9" i="2"/>
  <c r="K9" i="2" s="1"/>
  <c r="J10" i="2"/>
  <c r="K10" i="2" s="1"/>
  <c r="J11" i="2"/>
  <c r="K11" i="2" s="1"/>
  <c r="J12" i="2"/>
  <c r="K12" i="2" s="1"/>
  <c r="J9" i="1"/>
  <c r="J10" i="1"/>
  <c r="J11" i="1"/>
  <c r="J12" i="1"/>
  <c r="J13" i="1"/>
  <c r="J14" i="1"/>
  <c r="J15" i="1"/>
  <c r="J16" i="1"/>
  <c r="J17" i="1"/>
  <c r="J18" i="1"/>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3" i="4"/>
  <c r="F4" i="4" s="1"/>
  <c r="F5" i="4" s="1"/>
  <c r="F6" i="4" s="1"/>
  <c r="F7" i="4" s="1"/>
  <c r="F8" i="4" s="1"/>
  <c r="E14" i="3"/>
  <c r="C14" i="3"/>
  <c r="C16" i="3" s="1"/>
  <c r="G12" i="3"/>
  <c r="D12" i="3"/>
  <c r="D11" i="3"/>
  <c r="G11" i="3" s="1"/>
  <c r="G10" i="3"/>
  <c r="D10" i="3"/>
  <c r="D9" i="3"/>
  <c r="G9" i="3" s="1"/>
  <c r="D8" i="3"/>
  <c r="G8" i="3" s="1"/>
  <c r="D7" i="3"/>
  <c r="G7" i="3" s="1"/>
  <c r="D6" i="3"/>
  <c r="G6" i="3" s="1"/>
  <c r="D5" i="3"/>
  <c r="G5" i="3" s="1"/>
  <c r="G4" i="3"/>
  <c r="D4" i="3"/>
  <c r="D3" i="3"/>
  <c r="D14" i="3" s="1"/>
  <c r="C17" i="3" s="1"/>
  <c r="H13" i="2"/>
  <c r="D13" i="2"/>
  <c r="C13" i="2"/>
  <c r="K6" i="2"/>
  <c r="K5" i="2"/>
  <c r="K4" i="2"/>
  <c r="K3" i="2"/>
  <c r="I18" i="1"/>
  <c r="F18" i="1"/>
  <c r="E18" i="1"/>
  <c r="I17" i="1"/>
  <c r="F17" i="1"/>
  <c r="E17" i="1"/>
  <c r="I16" i="1"/>
  <c r="F16" i="1"/>
  <c r="E16" i="1"/>
  <c r="I15" i="1"/>
  <c r="F15" i="1"/>
  <c r="E15" i="1"/>
  <c r="I14" i="1"/>
  <c r="F14" i="1"/>
  <c r="E14" i="1"/>
  <c r="I13" i="1"/>
  <c r="F13" i="1"/>
  <c r="E13" i="1"/>
  <c r="I12" i="1"/>
  <c r="F12" i="1"/>
  <c r="E12" i="1"/>
  <c r="I11" i="1"/>
  <c r="F11" i="1"/>
  <c r="E11" i="1"/>
  <c r="F10" i="1"/>
  <c r="E10" i="1"/>
  <c r="I9" i="1"/>
  <c r="F9" i="1"/>
  <c r="E9" i="1"/>
  <c r="I5" i="1"/>
  <c r="H5" i="1"/>
  <c r="D5" i="1"/>
  <c r="F5" i="1" s="1"/>
  <c r="B5" i="1"/>
  <c r="G3" i="3" l="1"/>
  <c r="I10" i="1"/>
</calcChain>
</file>

<file path=xl/sharedStrings.xml><?xml version="1.0" encoding="utf-8"?>
<sst xmlns="http://schemas.openxmlformats.org/spreadsheetml/2006/main" count="120" uniqueCount="93">
  <si>
    <t>SAVINGS GOAL TRACKER</t>
  </si>
  <si>
    <t>Total Saved</t>
  </si>
  <si>
    <t>Total Goal Amount</t>
  </si>
  <si>
    <t>Overall Progress %</t>
  </si>
  <si>
    <t>Active Goals Count</t>
  </si>
  <si>
    <t>Monthly Savings Rate</t>
  </si>
  <si>
    <t>GOALS OVERVIEW</t>
  </si>
  <si>
    <t>Goal Name</t>
  </si>
  <si>
    <t>Target Amount</t>
  </si>
  <si>
    <t>Saved So Far</t>
  </si>
  <si>
    <t>Remaining</t>
  </si>
  <si>
    <t>Progress %</t>
  </si>
  <si>
    <t>Monthly Contribution</t>
  </si>
  <si>
    <t>Target Date</t>
  </si>
  <si>
    <t>Status</t>
  </si>
  <si>
    <t>Progress Bar</t>
  </si>
  <si>
    <t>Emergency Fund</t>
  </si>
  <si>
    <t>Vacation</t>
  </si>
  <si>
    <t>Car Down Payment</t>
  </si>
  <si>
    <t>Holiday Gifts</t>
  </si>
  <si>
    <t>Home Renovation</t>
  </si>
  <si>
    <t>SAVINGS GOALS CONFIGURATION</t>
  </si>
  <si>
    <t>Goal #</t>
  </si>
  <si>
    <t>Current Saved</t>
  </si>
  <si>
    <t>Priority</t>
  </si>
  <si>
    <t>Start Date</t>
  </si>
  <si>
    <t>Notes</t>
  </si>
  <si>
    <t>Months Remaining</t>
  </si>
  <si>
    <t>Required Monthly</t>
  </si>
  <si>
    <t>3-6 months expenses</t>
  </si>
  <si>
    <t>Summer trip</t>
  </si>
  <si>
    <t>20% down payment</t>
  </si>
  <si>
    <t>Christmas &amp; birthdays</t>
  </si>
  <si>
    <t>Kitchen remodel</t>
  </si>
  <si>
    <t>TOTALS</t>
  </si>
  <si>
    <t>SINKING FUNDS TRACKER</t>
  </si>
  <si>
    <t>Category</t>
  </si>
  <si>
    <t>Annual Cost</t>
  </si>
  <si>
    <t>Monthly Allocation</t>
  </si>
  <si>
    <t>Current Balance</t>
  </si>
  <si>
    <t>Next Due Date</t>
  </si>
  <si>
    <t>Car Insurance</t>
  </si>
  <si>
    <t>Car Registration</t>
  </si>
  <si>
    <t>Medical/Dental</t>
  </si>
  <si>
    <t>Home Maintenance</t>
  </si>
  <si>
    <t>Back to School</t>
  </si>
  <si>
    <t>Birthday Gifts</t>
  </si>
  <si>
    <t>Annual Subscriptions</t>
  </si>
  <si>
    <t>Emergency Buffer</t>
  </si>
  <si>
    <t>Total Annual Cost:</t>
  </si>
  <si>
    <t>Total Monthly Allocation:</t>
  </si>
  <si>
    <t>CONTRIBUTION LOG</t>
  </si>
  <si>
    <t>Date</t>
  </si>
  <si>
    <t>Goal/Fund Name</t>
  </si>
  <si>
    <t>Amount</t>
  </si>
  <si>
    <t>Type</t>
  </si>
  <si>
    <t>Running Balance</t>
  </si>
  <si>
    <t>Deposit</t>
  </si>
  <si>
    <t>Paycheck allocation</t>
  </si>
  <si>
    <t>Bi-weekly savings</t>
  </si>
  <si>
    <t>Monthly contribution</t>
  </si>
  <si>
    <t>Bonus money</t>
  </si>
  <si>
    <t>This workbook is designed to help you organize, track, and achieve your savings goals. Whether you are building an emergency fund, saving for a vacation, or planning for a major purchase, this tracker keeps everything in one place with clear visual progress indicators.</t>
  </si>
  <si>
    <t>📊  SAVINGS GOAL TRACKER — INSTRUCTIONS</t>
  </si>
  <si>
    <t>👋  Welcome to Your Savings Goal Tracker!</t>
  </si>
  <si>
    <t>🔧  SETUP STEPS</t>
  </si>
  <si>
    <t>①  Go to "Goals Setup" and enter your savings goals. Fill in Goal Name, Target Amount, and Target Date for each goal.</t>
  </si>
  <si>
    <t>②  Set your Monthly Contribution for each goal — how much you plan to save per month.</t>
  </si>
  <si>
    <t>③  Assign a Priority (1–5) to each goal. Priority 1 = most important. This helps allocate extra funds.</t>
  </si>
  <si>
    <t>④  Review "Sinking Funds" and customize categories for recurring annual/semi-annual expenses.</t>
  </si>
  <si>
    <t>⑤  Use "Contribution Log" to record every deposit or withdrawal — your detailed savings history.</t>
  </si>
  <si>
    <t>⑥  Check the "Dashboard" regularly for overall progress, KPI cards, and visual progress bars.</t>
  </si>
  <si>
    <t>💡  SAVINGS TIPS</t>
  </si>
  <si>
    <t>💰  Pay Yourself First — Set up automatic transfers on payday so savings happen before spending.</t>
  </si>
  <si>
    <t>🛡️  Emergency Fund First — Aim for $1,000 first, then build toward 3–6 months of expenses.</t>
  </si>
  <si>
    <t>📅  Use Sinking Funds — Break large annual expenses into monthly amounts. No more surprise bills!</t>
  </si>
  <si>
    <t>🎉  Celebrate Milestones — At 25%, 50%, 75% of a goal, acknowledge your progress to stay motivated.</t>
  </si>
  <si>
    <t>📋  Review Monthly — Spend 15 minutes each month reviewing your Dashboard and adjusting contributions.</t>
  </si>
  <si>
    <t>🎁  Windfalls Go to Goals — Allocate at least 50% of bonuses, refunds, or gift money to your top goal.</t>
  </si>
  <si>
    <t>🌱  Start Small — Even $25/month toward a goal is progress. Increase contributions as your budget allows.</t>
  </si>
  <si>
    <t>❓  FREQUENTLY ASKED QUESTIONS</t>
  </si>
  <si>
    <t>Q:  How do I add a new savings goal?</t>
  </si>
  <si>
    <t>A:  Go to "Goals Setup" and fill in the next empty row. The Dashboard picks it up automatically.</t>
  </si>
  <si>
    <t>Q:  What is a sinking fund?</t>
  </si>
  <si>
    <t>A:  Money set aside monthly for a planned future expense. Instead of a surprise $1,200 bill, you save $100/month.</t>
  </si>
  <si>
    <t>Q:  How often should I update the tracker?</t>
  </si>
  <si>
    <t>A:  Log contributions as they happen (weekly or bi-weekly). Review the Dashboard at least once a month.</t>
  </si>
  <si>
    <t>Q:  What if I need to withdraw from a goal?</t>
  </si>
  <si>
    <t>A:  Log it in Contribution Log with "Withdrawal" as Type. Update Current Saved in Goals Setup.</t>
  </si>
  <si>
    <t>Q:  Can I change the goal targets later?</t>
  </si>
  <si>
    <t>A:  Yes! Update Target Amount in Goals Setup. All formulas and the Dashboard recalculate automatically.</t>
  </si>
  <si>
    <t>Q:  How are the progress bars calculated?</t>
  </si>
  <si>
    <t>A:  They use a formula creating a visual bar based on percentage saved. Each block ≈ 5% of the goal.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</si>
</sst>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
    <numFmt numFmtId="166" formatCode="mm/dd/yyyy"/>
  </numFmts>
  <fonts count="15" x14ac:knownFonts="1">
    <font>
      <sz val="11"/>
      <color theme="1"/>
      <name val="Calibri"/>
      <family val="2"/>
      <scheme val="minor"/>
    </font>
    <font>
      <b/>
      <sz val="20"/>
      <color rgb="FFFFFFFF"/>
      <name val="Calibri"/>
    </font>
    <font>
      <sz val="10"/>
      <color rgb="FFFFFFFF"/>
      <name val="Calibri"/>
    </font>
    <font>
      <b/>
      <sz val="16"/>
      <color rgb="FFFFFFFF"/>
      <name val="Calibri"/>
    </font>
    <font>
      <b/>
      <sz val="14"/>
      <color rgb="FFFFFFFF"/>
      <name val="Calibri"/>
    </font>
    <font>
      <b/>
      <sz val="12"/>
      <color rgb="FFFFFFFF"/>
      <name val="Calibri"/>
    </font>
    <font>
      <sz val="11"/>
      <color rgb="FF2C3E50"/>
      <name val="Calibri"/>
    </font>
    <font>
      <sz val="10"/>
      <color rgb="FF27AE60"/>
      <name val="Calibri"/>
    </font>
    <font>
      <b/>
      <sz val="11"/>
      <color rgb="FFFFFFFF"/>
      <name val="Calibri"/>
    </font>
    <font>
      <b/>
      <sz val="11"/>
      <color rgb="FF2C3E50"/>
      <name val="Calibri"/>
    </font>
    <font>
      <b/>
      <sz val="14"/>
      <color rgb="FF2C3E50"/>
      <name val="Calibri"/>
    </font>
    <font>
      <sz val="11"/>
      <color rgb="FF333333"/>
      <name val="Calibri"/>
    </font>
    <font>
      <sz val="11"/>
      <color theme="1"/>
      <name val="Calibri"/>
      <scheme val="minor"/>
    </font>
    <font>
      <sz val="11"/>
      <color rgb="FF555555"/>
      <name val="Calibri"/>
    </font>
    <font>
      <b/>
      <sz val="13"/>
      <color rgb="FFFFFFFF"/>
      <name val="Calibri"/>
    </font>
  </fonts>
  <fills count="16">
    <fill>
      <patternFill patternType="none"/>
    </fill>
    <fill>
      <patternFill patternType="gray125"/>
    </fill>
    <fill>
      <patternFill patternType="solid">
        <fgColor rgb="FF2C3E50"/>
      </patternFill>
    </fill>
    <fill>
      <patternFill patternType="solid">
        <fgColor rgb="FF27AE60"/>
      </patternFill>
    </fill>
    <fill>
      <patternFill patternType="solid">
        <fgColor rgb="FF3498DB"/>
      </patternFill>
    </fill>
    <fill>
      <patternFill patternType="solid">
        <fgColor rgb="FFFFFFFF"/>
      </patternFill>
    </fill>
    <fill>
      <patternFill patternType="solid">
        <fgColor rgb="FFECF0F1"/>
      </patternFill>
    </fill>
    <fill>
      <patternFill patternType="solid">
        <fgColor rgb="FFF0F7FA"/>
        <bgColor indexed="64"/>
      </patternFill>
    </fill>
    <fill>
      <patternFill patternType="solid">
        <fgColor rgb="FFE4EEF2"/>
        <bgColor indexed="64"/>
      </patternFill>
    </fill>
    <fill>
      <patternFill patternType="solid">
        <fgColor rgb="FFFFFFFF"/>
        <bgColor indexed="64"/>
      </patternFill>
    </fill>
    <fill>
      <patternFill patternType="solid">
        <fgColor rgb="FF2C3E50"/>
        <bgColor indexed="64"/>
      </patternFill>
    </fill>
    <fill>
      <patternFill patternType="solid">
        <fgColor rgb="FF3498DB"/>
        <bgColor indexed="64"/>
      </patternFill>
    </fill>
    <fill>
      <patternFill patternType="solid">
        <fgColor rgb="FFF7F9FA"/>
        <bgColor indexed="64"/>
      </patternFill>
    </fill>
    <fill>
      <patternFill patternType="solid">
        <fgColor rgb="FF27AE60"/>
        <bgColor indexed="64"/>
      </patternFill>
    </fill>
    <fill>
      <patternFill patternType="solid">
        <fgColor rgb="FFF0FAF4"/>
        <bgColor indexed="64"/>
      </patternFill>
    </fill>
    <fill>
      <patternFill patternType="solid">
        <fgColor rgb="FFEBF5FB"/>
        <bgColor indexed="64"/>
      </patternFill>
    </fill>
  </fills>
  <borders count="9">
    <border>
      <left/>
      <right/>
      <top/>
      <bottom/>
      <diagonal/>
    </border>
    <border>
      <left style="thin">
        <color rgb="FFECF0F1"/>
      </left>
      <right style="thin">
        <color rgb="FFECF0F1"/>
      </right>
      <top style="thin">
        <color rgb="FFECF0F1"/>
      </top>
      <bottom style="thin">
        <color rgb="FFECF0F1"/>
      </bottom>
      <diagonal/>
    </border>
    <border>
      <left style="thin">
        <color rgb="FFECF0F1"/>
      </left>
      <right/>
      <top/>
      <bottom style="thin">
        <color rgb="FFECF0F1"/>
      </bottom>
      <diagonal/>
    </border>
    <border>
      <left style="thin">
        <color rgb="FFECF0F1"/>
      </left>
      <right/>
      <top style="thin">
        <color rgb="FFECF0F1"/>
      </top>
      <bottom/>
      <diagonal/>
    </border>
    <border>
      <left style="medium">
        <color rgb="FF3498DB"/>
      </left>
      <right/>
      <top style="thin">
        <color rgb="FFECF0F1"/>
      </top>
      <bottom/>
      <diagonal/>
    </border>
    <border>
      <left style="thin">
        <color rgb="FF3498DB"/>
      </left>
      <right/>
      <top/>
      <bottom/>
      <diagonal/>
    </border>
    <border>
      <left style="medium">
        <color rgb="FF3498DB"/>
      </left>
      <right/>
      <top/>
      <bottom/>
      <diagonal/>
    </border>
    <border>
      <left style="medium">
        <color rgb="FF27AE60"/>
      </left>
      <right/>
      <top style="thin">
        <color rgb="FFECF0F1"/>
      </top>
      <bottom/>
      <diagonal/>
    </border>
    <border>
      <left style="medium">
        <color rgb="FF27AE60"/>
      </left>
      <right/>
      <top/>
      <bottom/>
      <diagonal/>
    </border>
  </borders>
  <cellStyleXfs count="1">
    <xf numFmtId="0" fontId="0" fillId="0" borderId="0"/>
  </cellStyleXfs>
  <cellXfs count="63">
    <xf numFmtId="0" fontId="0" fillId="0" borderId="0" xfId="0"/>
    <xf numFmtId="0" fontId="0" fillId="0" borderId="0" xfId="0" applyProtection="1"/>
    <xf numFmtId="0" fontId="1" fillId="2" borderId="1" xfId="0" applyFont="1" applyFill="1" applyBorder="1" applyAlignment="1" applyProtection="1">
      <alignment horizontal="center" vertical="center" wrapText="1"/>
    </xf>
    <xf numFmtId="0" fontId="0" fillId="2" borderId="1" xfId="0" applyFill="1" applyBorder="1" applyProtection="1"/>
    <xf numFmtId="0" fontId="2" fillId="3" borderId="1" xfId="0" applyFont="1" applyFill="1" applyBorder="1" applyAlignment="1" applyProtection="1">
      <alignment horizontal="center" vertical="center" wrapText="1"/>
    </xf>
    <xf numFmtId="0" fontId="0" fillId="3" borderId="1" xfId="0" applyFill="1" applyBorder="1" applyProtection="1"/>
    <xf numFmtId="0" fontId="2" fillId="4" borderId="1" xfId="0" applyFont="1" applyFill="1" applyBorder="1" applyAlignment="1" applyProtection="1">
      <alignment horizontal="center" vertical="center" wrapText="1"/>
    </xf>
    <xf numFmtId="0" fontId="0" fillId="4" borderId="1" xfId="0" applyFill="1" applyBorder="1" applyProtection="1"/>
    <xf numFmtId="0" fontId="2" fillId="2" borderId="1" xfId="0" applyFont="1" applyFill="1" applyBorder="1" applyAlignment="1" applyProtection="1">
      <alignment horizontal="center" vertical="center" wrapText="1"/>
    </xf>
    <xf numFmtId="164" fontId="3" fillId="3" borderId="1" xfId="0" applyNumberFormat="1" applyFont="1" applyFill="1" applyBorder="1" applyAlignment="1" applyProtection="1">
      <alignment horizontal="center" vertical="center" wrapText="1"/>
    </xf>
    <xf numFmtId="164" fontId="3" fillId="4" borderId="1" xfId="0" applyNumberFormat="1" applyFont="1" applyFill="1" applyBorder="1" applyAlignment="1" applyProtection="1">
      <alignment horizontal="center" vertical="center" wrapText="1"/>
    </xf>
    <xf numFmtId="165" fontId="3" fillId="3" borderId="1" xfId="0" applyNumberFormat="1" applyFont="1" applyFill="1" applyBorder="1" applyAlignment="1" applyProtection="1">
      <alignment horizontal="center" vertical="center" wrapText="1"/>
    </xf>
    <xf numFmtId="3" fontId="3" fillId="2" borderId="1" xfId="0" applyNumberFormat="1" applyFont="1" applyFill="1" applyBorder="1" applyAlignment="1" applyProtection="1">
      <alignment horizontal="center" vertical="center" wrapText="1"/>
    </xf>
    <xf numFmtId="0" fontId="4" fillId="2" borderId="1" xfId="0" applyFont="1" applyFill="1" applyBorder="1" applyAlignment="1" applyProtection="1">
      <alignment horizontal="center" vertical="center" wrapText="1"/>
    </xf>
    <xf numFmtId="0" fontId="5" fillId="2" borderId="1" xfId="0" applyFont="1" applyFill="1" applyBorder="1" applyAlignment="1" applyProtection="1">
      <alignment horizontal="center" vertical="center" wrapText="1"/>
    </xf>
    <xf numFmtId="0" fontId="6" fillId="5" borderId="1" xfId="0" applyFont="1" applyFill="1" applyBorder="1" applyAlignment="1" applyProtection="1">
      <alignment horizontal="left" vertical="center" wrapText="1"/>
    </xf>
    <xf numFmtId="164" fontId="6" fillId="5" borderId="1" xfId="0" applyNumberFormat="1" applyFont="1" applyFill="1" applyBorder="1" applyAlignment="1" applyProtection="1">
      <alignment horizontal="right" vertical="center"/>
    </xf>
    <xf numFmtId="165" fontId="6" fillId="5" borderId="1" xfId="0" applyNumberFormat="1" applyFont="1" applyFill="1" applyBorder="1" applyAlignment="1" applyProtection="1">
      <alignment horizontal="center" vertical="center" wrapText="1"/>
    </xf>
    <xf numFmtId="166" fontId="6" fillId="5" borderId="1" xfId="0" applyNumberFormat="1" applyFont="1" applyFill="1" applyBorder="1" applyAlignment="1" applyProtection="1">
      <alignment horizontal="center" vertical="center" wrapText="1"/>
    </xf>
    <xf numFmtId="0" fontId="6" fillId="5" borderId="1" xfId="0" applyFont="1" applyFill="1" applyBorder="1" applyAlignment="1" applyProtection="1">
      <alignment horizontal="center" vertical="center" wrapText="1"/>
    </xf>
    <xf numFmtId="0" fontId="7" fillId="5" borderId="1" xfId="0" applyFont="1" applyFill="1" applyBorder="1" applyAlignment="1" applyProtection="1">
      <alignment horizontal="left" vertical="center" wrapText="1"/>
    </xf>
    <xf numFmtId="0" fontId="6" fillId="6" borderId="1" xfId="0" applyFont="1" applyFill="1" applyBorder="1" applyAlignment="1" applyProtection="1">
      <alignment horizontal="left" vertical="center" wrapText="1"/>
    </xf>
    <xf numFmtId="164" fontId="6" fillId="6" borderId="1" xfId="0" applyNumberFormat="1" applyFont="1" applyFill="1" applyBorder="1" applyAlignment="1" applyProtection="1">
      <alignment horizontal="right" vertical="center"/>
    </xf>
    <xf numFmtId="165" fontId="6" fillId="6" borderId="1" xfId="0" applyNumberFormat="1" applyFont="1" applyFill="1" applyBorder="1" applyAlignment="1" applyProtection="1">
      <alignment horizontal="center" vertical="center" wrapText="1"/>
    </xf>
    <xf numFmtId="166" fontId="6" fillId="6" borderId="1" xfId="0" applyNumberFormat="1" applyFont="1" applyFill="1" applyBorder="1" applyAlignment="1" applyProtection="1">
      <alignment horizontal="center" vertical="center" wrapText="1"/>
    </xf>
    <xf numFmtId="0" fontId="6" fillId="6" borderId="1" xfId="0" applyFont="1" applyFill="1" applyBorder="1" applyAlignment="1" applyProtection="1">
      <alignment horizontal="center" vertical="center" wrapText="1"/>
    </xf>
    <xf numFmtId="0" fontId="7" fillId="6" borderId="1" xfId="0" applyFont="1" applyFill="1" applyBorder="1" applyAlignment="1" applyProtection="1">
      <alignment horizontal="left" vertical="center" wrapText="1"/>
    </xf>
    <xf numFmtId="1" fontId="6" fillId="5" borderId="1" xfId="0" applyNumberFormat="1" applyFont="1" applyFill="1" applyBorder="1" applyAlignment="1" applyProtection="1">
      <alignment horizontal="center" vertical="center" wrapText="1"/>
    </xf>
    <xf numFmtId="1" fontId="6" fillId="6" borderId="1" xfId="0" applyNumberFormat="1" applyFont="1" applyFill="1" applyBorder="1" applyAlignment="1" applyProtection="1">
      <alignment horizontal="center" vertical="center" wrapText="1"/>
    </xf>
    <xf numFmtId="0" fontId="8" fillId="2" borderId="1" xfId="0" applyFont="1" applyFill="1" applyBorder="1" applyAlignment="1" applyProtection="1">
      <alignment horizontal="center" vertical="center" wrapText="1"/>
    </xf>
    <xf numFmtId="164" fontId="8" fillId="2" borderId="1" xfId="0" applyNumberFormat="1" applyFont="1" applyFill="1" applyBorder="1" applyAlignment="1" applyProtection="1">
      <alignment horizontal="center" vertical="center" wrapText="1"/>
    </xf>
    <xf numFmtId="0" fontId="9" fillId="0" borderId="0" xfId="0" applyFont="1" applyProtection="1"/>
    <xf numFmtId="164" fontId="9" fillId="0" borderId="0" xfId="0" applyNumberFormat="1" applyFont="1" applyProtection="1"/>
    <xf numFmtId="0" fontId="6" fillId="7" borderId="1" xfId="0" applyFont="1" applyFill="1" applyBorder="1" applyAlignment="1" applyProtection="1">
      <alignment horizontal="left" vertical="center" wrapText="1"/>
      <protection locked="0"/>
    </xf>
    <xf numFmtId="164" fontId="6" fillId="7" borderId="1" xfId="0" applyNumberFormat="1" applyFont="1" applyFill="1" applyBorder="1" applyAlignment="1" applyProtection="1">
      <alignment horizontal="right" vertical="center"/>
      <protection locked="0"/>
    </xf>
    <xf numFmtId="0" fontId="6" fillId="7" borderId="1" xfId="0" applyFont="1" applyFill="1" applyBorder="1" applyAlignment="1" applyProtection="1">
      <alignment horizontal="center" vertical="center" wrapText="1"/>
      <protection locked="0"/>
    </xf>
    <xf numFmtId="166" fontId="6" fillId="7" borderId="1" xfId="0" applyNumberFormat="1" applyFont="1" applyFill="1" applyBorder="1" applyAlignment="1" applyProtection="1">
      <alignment horizontal="center" vertical="center" wrapText="1"/>
      <protection locked="0"/>
    </xf>
    <xf numFmtId="0" fontId="6" fillId="8" borderId="1" xfId="0" applyFont="1" applyFill="1" applyBorder="1" applyAlignment="1" applyProtection="1">
      <alignment horizontal="left" vertical="center" wrapText="1"/>
      <protection locked="0"/>
    </xf>
    <xf numFmtId="164" fontId="6" fillId="8" borderId="1" xfId="0" applyNumberFormat="1" applyFont="1" applyFill="1" applyBorder="1" applyAlignment="1" applyProtection="1">
      <alignment horizontal="right" vertical="center"/>
      <protection locked="0"/>
    </xf>
    <xf numFmtId="0" fontId="6" fillId="8" borderId="1" xfId="0" applyFont="1" applyFill="1" applyBorder="1" applyAlignment="1" applyProtection="1">
      <alignment horizontal="center" vertical="center" wrapText="1"/>
      <protection locked="0"/>
    </xf>
    <xf numFmtId="166" fontId="6" fillId="8" borderId="1" xfId="0" applyNumberFormat="1" applyFont="1" applyFill="1" applyBorder="1" applyAlignment="1" applyProtection="1">
      <alignment horizontal="center" vertical="center" wrapText="1"/>
      <protection locked="0"/>
    </xf>
    <xf numFmtId="0" fontId="12" fillId="9" borderId="0" xfId="0" applyFont="1" applyFill="1" applyBorder="1" applyProtection="1"/>
    <xf numFmtId="0" fontId="10" fillId="9" borderId="0" xfId="0" applyFont="1" applyFill="1" applyBorder="1" applyProtection="1"/>
    <xf numFmtId="0" fontId="12" fillId="10" borderId="0" xfId="0" applyFont="1" applyFill="1" applyBorder="1" applyProtection="1"/>
    <xf numFmtId="0" fontId="3" fillId="10" borderId="2" xfId="0" applyFont="1" applyFill="1" applyBorder="1" applyAlignment="1" applyProtection="1">
      <alignment horizontal="center" vertical="center" wrapText="1"/>
    </xf>
    <xf numFmtId="0" fontId="12" fillId="11" borderId="0" xfId="0" applyFont="1" applyFill="1" applyBorder="1" applyProtection="1"/>
    <xf numFmtId="0" fontId="13" fillId="9" borderId="0" xfId="0" applyFont="1" applyFill="1" applyBorder="1" applyAlignment="1" applyProtection="1">
      <alignment vertical="top" wrapText="1"/>
    </xf>
    <xf numFmtId="0" fontId="12" fillId="12" borderId="0" xfId="0" applyFont="1" applyFill="1" applyBorder="1" applyProtection="1"/>
    <xf numFmtId="0" fontId="14" fillId="10" borderId="3" xfId="0" applyFont="1" applyFill="1" applyBorder="1" applyProtection="1"/>
    <xf numFmtId="0" fontId="11" fillId="12" borderId="4" xfId="0" applyFont="1" applyFill="1" applyBorder="1" applyAlignment="1" applyProtection="1">
      <alignment vertical="center" wrapText="1"/>
    </xf>
    <xf numFmtId="0" fontId="11" fillId="9" borderId="6" xfId="0" applyFont="1" applyFill="1" applyBorder="1" applyAlignment="1" applyProtection="1">
      <alignment vertical="center" wrapText="1"/>
    </xf>
    <xf numFmtId="0" fontId="11" fillId="12" borderId="6" xfId="0" applyFont="1" applyFill="1" applyBorder="1" applyAlignment="1" applyProtection="1">
      <alignment vertical="center" wrapText="1"/>
    </xf>
    <xf numFmtId="0" fontId="12" fillId="13" borderId="0" xfId="0" applyFont="1" applyFill="1" applyBorder="1" applyProtection="1"/>
    <xf numFmtId="0" fontId="12" fillId="14" borderId="0" xfId="0" applyFont="1" applyFill="1" applyBorder="1" applyProtection="1"/>
    <xf numFmtId="0" fontId="14" fillId="13" borderId="3" xfId="0" applyFont="1" applyFill="1" applyBorder="1" applyProtection="1"/>
    <xf numFmtId="0" fontId="11" fillId="14" borderId="7" xfId="0" applyFont="1" applyFill="1" applyBorder="1" applyAlignment="1" applyProtection="1">
      <alignment vertical="center" wrapText="1"/>
    </xf>
    <xf numFmtId="0" fontId="11" fillId="9" borderId="8" xfId="0" applyFont="1" applyFill="1" applyBorder="1" applyAlignment="1" applyProtection="1">
      <alignment vertical="center" wrapText="1"/>
    </xf>
    <xf numFmtId="0" fontId="11" fillId="14" borderId="8" xfId="0" applyFont="1" applyFill="1" applyBorder="1" applyAlignment="1" applyProtection="1">
      <alignment vertical="center" wrapText="1"/>
    </xf>
    <xf numFmtId="0" fontId="12" fillId="15" borderId="0" xfId="0" applyFont="1" applyFill="1" applyBorder="1" applyProtection="1"/>
    <xf numFmtId="0" fontId="14" fillId="11" borderId="3" xfId="0" applyFont="1" applyFill="1" applyBorder="1" applyProtection="1"/>
    <xf numFmtId="0" fontId="9" fillId="15" borderId="4" xfId="0" applyFont="1" applyFill="1" applyBorder="1" applyAlignment="1" applyProtection="1">
      <alignment vertical="center"/>
    </xf>
    <xf numFmtId="0" fontId="13" fillId="9" borderId="5" xfId="0" applyFont="1" applyFill="1" applyBorder="1" applyAlignment="1" applyProtection="1">
      <alignment vertical="center" wrapText="1"/>
    </xf>
    <xf numFmtId="0" fontId="9" fillId="15" borderId="6" xfId="0" applyFont="1" applyFill="1" applyBorder="1" applyAlignment="1" applyProtection="1">
      <alignment vertical="center"/>
    </xf>
  </cellXfs>
  <cellStyles count="1">
    <cellStyle name="Standard" xfId="0" builtinId="0"/>
  </cellStyles>
  <dxfs count="6">
    <dxf>
      <font>
        <b/>
        <color rgb="FFFFFFFF"/>
        <name val="Calibri"/>
      </font>
      <fill>
        <patternFill patternType="solid">
          <fgColor rgb="FFE74C3C"/>
        </patternFill>
      </fill>
    </dxf>
    <dxf>
      <font>
        <b/>
        <color rgb="FFFFFFFF"/>
        <name val="Calibri"/>
      </font>
      <fill>
        <patternFill patternType="solid">
          <fgColor rgb="FF27AE60"/>
        </patternFill>
      </fill>
    </dxf>
    <dxf>
      <font>
        <b/>
        <color rgb="FFFFFFFF"/>
        <name val="Calibri"/>
      </font>
      <fill>
        <patternFill patternType="solid">
          <fgColor rgb="FFF39C12"/>
        </patternFill>
      </fill>
    </dxf>
    <dxf>
      <font>
        <b/>
        <color rgb="FFFFFFFF"/>
        <name val="Calibri"/>
      </font>
      <fill>
        <patternFill patternType="solid">
          <fgColor rgb="FFF39C12"/>
        </patternFill>
      </fill>
    </dxf>
    <dxf>
      <font>
        <b/>
        <color rgb="FFFFFFFF"/>
        <name val="Calibri"/>
      </font>
      <fill>
        <patternFill patternType="solid">
          <fgColor rgb="FF3498DB"/>
        </patternFill>
      </fill>
    </dxf>
    <dxf>
      <font>
        <b/>
        <color rgb="FFFFFFFF"/>
        <name val="Calibri"/>
      </font>
      <fill>
        <patternFill patternType="solid">
          <fgColor rgb="FF27AE6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07"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F839960-B610-4A22-8FF1-E9DD3B477469}">
  <we:reference id="wa200009404" version="1.0.0.5" store="de-DE" storeType="OMEX"/>
  <we:alternateReferences>
    <we:reference id="wa200009404" version="1.0.0.5" store="wa200009404" storeType="OMEX"/>
  </we:alternateReferences>
  <we:properties>
    <we:property name="Office.AutoShowTaskpaneWithDocument" value="true"/>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7AE60"/>
  </sheetPr>
  <dimension ref="A1:J18"/>
  <sheetViews>
    <sheetView workbookViewId="0">
      <pane xSplit="1" ySplit="8" topLeftCell="B9" activePane="bottomRight" state="frozen"/>
      <selection pane="topRight"/>
      <selection pane="bottomLeft"/>
      <selection pane="bottomRight" activeCell="C32" sqref="C32"/>
    </sheetView>
  </sheetViews>
  <sheetFormatPr baseColWidth="10" defaultColWidth="9.140625" defaultRowHeight="15" x14ac:dyDescent="0.25"/>
  <cols>
    <col min="1" max="1" width="1" customWidth="1"/>
    <col min="2" max="2" width="26.7109375" customWidth="1"/>
    <col min="3" max="4" width="21" customWidth="1"/>
    <col min="5" max="5" width="19" customWidth="1"/>
    <col min="6" max="6" width="18.140625" customWidth="1"/>
    <col min="7" max="7" width="24.7109375" customWidth="1"/>
    <col min="8" max="8" width="19" customWidth="1"/>
    <col min="9" max="9" width="17.140625" customWidth="1"/>
    <col min="10" max="10" width="32.42578125" customWidth="1"/>
  </cols>
  <sheetData>
    <row r="1" spans="1:10" ht="35.1" customHeight="1" x14ac:dyDescent="0.25">
      <c r="A1" s="1"/>
      <c r="B1" s="2" t="s">
        <v>0</v>
      </c>
      <c r="C1" s="3"/>
      <c r="D1" s="3"/>
      <c r="E1" s="3"/>
      <c r="F1" s="3"/>
      <c r="G1" s="3"/>
      <c r="H1" s="3"/>
      <c r="I1" s="3"/>
      <c r="J1" s="3"/>
    </row>
    <row r="2" spans="1:10" ht="8.1" customHeight="1" x14ac:dyDescent="0.25">
      <c r="A2" s="1"/>
      <c r="B2" s="3"/>
      <c r="C2" s="3"/>
      <c r="D2" s="3"/>
      <c r="E2" s="3"/>
      <c r="F2" s="3"/>
      <c r="G2" s="3"/>
      <c r="H2" s="3"/>
      <c r="I2" s="3"/>
      <c r="J2" s="3"/>
    </row>
    <row r="3" spans="1:10" ht="8.1" customHeight="1" x14ac:dyDescent="0.25">
      <c r="A3" s="1"/>
      <c r="B3" s="1"/>
      <c r="C3" s="1"/>
      <c r="D3" s="1"/>
      <c r="E3" s="1"/>
      <c r="F3" s="1"/>
      <c r="G3" s="1"/>
      <c r="H3" s="1"/>
      <c r="I3" s="1"/>
      <c r="J3" s="1"/>
    </row>
    <row r="4" spans="1:10" ht="21.95" customHeight="1" x14ac:dyDescent="0.25">
      <c r="A4" s="1"/>
      <c r="B4" s="4" t="s">
        <v>1</v>
      </c>
      <c r="C4" s="5"/>
      <c r="D4" s="6" t="s">
        <v>2</v>
      </c>
      <c r="E4" s="7"/>
      <c r="F4" s="4" t="s">
        <v>3</v>
      </c>
      <c r="G4" s="5"/>
      <c r="H4" s="8" t="s">
        <v>4</v>
      </c>
      <c r="I4" s="6" t="s">
        <v>5</v>
      </c>
      <c r="J4" s="7"/>
    </row>
    <row r="5" spans="1:10" ht="30" customHeight="1" x14ac:dyDescent="0.25">
      <c r="A5" s="1"/>
      <c r="B5" s="9">
        <f>'Goals Setup'!D13</f>
        <v>8100</v>
      </c>
      <c r="C5" s="5"/>
      <c r="D5" s="10">
        <f>'Goals Setup'!C13</f>
        <v>37500</v>
      </c>
      <c r="E5" s="7"/>
      <c r="F5" s="11">
        <f>IF(D5=0,0,B5/D5)</f>
        <v>0.216</v>
      </c>
      <c r="G5" s="5"/>
      <c r="H5" s="12">
        <f>COUNTA('Goals Setup'!B3:B12)</f>
        <v>5</v>
      </c>
      <c r="I5" s="10">
        <f>'Goals Setup'!H13</f>
        <v>1150</v>
      </c>
      <c r="J5" s="7"/>
    </row>
    <row r="6" spans="1:10" ht="8.1" customHeight="1" x14ac:dyDescent="0.25">
      <c r="A6" s="1"/>
      <c r="B6" s="1"/>
      <c r="C6" s="1"/>
      <c r="D6" s="1"/>
      <c r="E6" s="1"/>
      <c r="F6" s="1"/>
      <c r="G6" s="1"/>
      <c r="H6" s="1"/>
      <c r="I6" s="1"/>
      <c r="J6" s="1"/>
    </row>
    <row r="7" spans="1:10" ht="27.95" customHeight="1" x14ac:dyDescent="0.25">
      <c r="A7" s="1"/>
      <c r="B7" s="13" t="s">
        <v>6</v>
      </c>
      <c r="C7" s="3"/>
      <c r="D7" s="3"/>
      <c r="E7" s="3"/>
      <c r="F7" s="3"/>
      <c r="G7" s="3"/>
      <c r="H7" s="3"/>
      <c r="I7" s="3"/>
      <c r="J7" s="3"/>
    </row>
    <row r="8" spans="1:10" ht="24" customHeight="1" x14ac:dyDescent="0.25">
      <c r="A8" s="1"/>
      <c r="B8" s="14" t="s">
        <v>7</v>
      </c>
      <c r="C8" s="14" t="s">
        <v>8</v>
      </c>
      <c r="D8" s="14" t="s">
        <v>9</v>
      </c>
      <c r="E8" s="14" t="s">
        <v>10</v>
      </c>
      <c r="F8" s="14" t="s">
        <v>11</v>
      </c>
      <c r="G8" s="14" t="s">
        <v>12</v>
      </c>
      <c r="H8" s="14" t="s">
        <v>13</v>
      </c>
      <c r="I8" s="14" t="s">
        <v>14</v>
      </c>
      <c r="J8" s="14" t="s">
        <v>15</v>
      </c>
    </row>
    <row r="9" spans="1:10" ht="21.95" customHeight="1" x14ac:dyDescent="0.25">
      <c r="A9" s="1"/>
      <c r="B9" s="15" t="s">
        <v>16</v>
      </c>
      <c r="C9" s="16">
        <v>10000</v>
      </c>
      <c r="D9" s="16">
        <v>3500</v>
      </c>
      <c r="E9" s="16">
        <f t="shared" ref="E9:E18" si="0">IF(C9="","",C9-D9)</f>
        <v>6500</v>
      </c>
      <c r="F9" s="17">
        <f t="shared" ref="F9:F18" si="1">IF(C9="","",D9/C9)</f>
        <v>0.35</v>
      </c>
      <c r="G9" s="16">
        <v>200</v>
      </c>
      <c r="H9" s="18">
        <v>46037</v>
      </c>
      <c r="I9" s="19" t="str">
        <f t="shared" ref="I9:I18" si="2">IF(C9="","",IF(F9&gt;=1,"Complete",IF(F9&gt;0.3,"On Track","Behind")))</f>
        <v>On Track</v>
      </c>
      <c r="J9" s="20" t="str">
        <f>IF(C9="","",REPT("|",MIN(ROUND(F9*20,0),20))&amp;REPT("·",MAX(20-ROUND(F9*20,0),0)))</f>
        <v>|||||||·············</v>
      </c>
    </row>
    <row r="10" spans="1:10" ht="21.95" customHeight="1" x14ac:dyDescent="0.25">
      <c r="A10" s="1"/>
      <c r="B10" s="21" t="s">
        <v>17</v>
      </c>
      <c r="C10" s="22">
        <v>3000</v>
      </c>
      <c r="D10" s="22">
        <v>1200</v>
      </c>
      <c r="E10" s="22">
        <f t="shared" si="0"/>
        <v>1800</v>
      </c>
      <c r="F10" s="23">
        <f t="shared" si="1"/>
        <v>0.4</v>
      </c>
      <c r="G10" s="22">
        <v>150</v>
      </c>
      <c r="H10" s="24">
        <v>46174</v>
      </c>
      <c r="I10" s="25" t="str">
        <f t="shared" si="2"/>
        <v>On Track</v>
      </c>
      <c r="J10" s="26" t="str">
        <f>IF(C10="","",REPT("|",MIN(ROUND(F10*20,0),20))&amp;REPT("·",MAX(20-ROUND(F10*20,0),0)))</f>
        <v>||||||||············</v>
      </c>
    </row>
    <row r="11" spans="1:10" ht="21.95" customHeight="1" x14ac:dyDescent="0.25">
      <c r="A11" s="1"/>
      <c r="B11" s="15" t="s">
        <v>18</v>
      </c>
      <c r="C11" s="16">
        <v>8000</v>
      </c>
      <c r="D11" s="16">
        <v>2000</v>
      </c>
      <c r="E11" s="16">
        <f t="shared" si="0"/>
        <v>6000</v>
      </c>
      <c r="F11" s="17">
        <f t="shared" si="1"/>
        <v>0.25</v>
      </c>
      <c r="G11" s="16">
        <v>300</v>
      </c>
      <c r="H11" s="18">
        <v>46387</v>
      </c>
      <c r="I11" s="19" t="str">
        <f t="shared" si="2"/>
        <v>Behind</v>
      </c>
      <c r="J11" s="20" t="str">
        <f>IF(C11="","",REPT("|",MIN(ROUND(F11*20,0),20))&amp;REPT("·",MAX(20-ROUND(F11*20,0),0)))</f>
        <v>|||||···············</v>
      </c>
    </row>
    <row r="12" spans="1:10" ht="21.95" customHeight="1" x14ac:dyDescent="0.25">
      <c r="A12" s="1"/>
      <c r="B12" s="21" t="s">
        <v>19</v>
      </c>
      <c r="C12" s="22">
        <v>1500</v>
      </c>
      <c r="D12" s="22">
        <v>400</v>
      </c>
      <c r="E12" s="22">
        <f t="shared" si="0"/>
        <v>1100</v>
      </c>
      <c r="F12" s="23">
        <f t="shared" si="1"/>
        <v>0.26666666666666666</v>
      </c>
      <c r="G12" s="22">
        <v>100</v>
      </c>
      <c r="H12" s="24">
        <v>46341</v>
      </c>
      <c r="I12" s="25" t="str">
        <f t="shared" si="2"/>
        <v>Behind</v>
      </c>
      <c r="J12" s="26" t="str">
        <f>IF(C12="","",REPT("|",MIN(ROUND(F12*20,0),20))&amp;REPT("·",MAX(20-ROUND(F12*20,0),0)))</f>
        <v>|||||···············</v>
      </c>
    </row>
    <row r="13" spans="1:10" ht="21.95" customHeight="1" x14ac:dyDescent="0.25">
      <c r="A13" s="1"/>
      <c r="B13" s="15" t="s">
        <v>20</v>
      </c>
      <c r="C13" s="16">
        <v>15000</v>
      </c>
      <c r="D13" s="16">
        <v>1000</v>
      </c>
      <c r="E13" s="16">
        <f t="shared" si="0"/>
        <v>14000</v>
      </c>
      <c r="F13" s="17">
        <f t="shared" si="1"/>
        <v>6.6666666666666666E-2</v>
      </c>
      <c r="G13" s="16">
        <v>400</v>
      </c>
      <c r="H13" s="18">
        <v>46447</v>
      </c>
      <c r="I13" s="19" t="str">
        <f t="shared" si="2"/>
        <v>Behind</v>
      </c>
      <c r="J13" s="20" t="str">
        <f>IF(C13="","",REPT("|",MIN(ROUND(F13*20,0),20))&amp;REPT("·",MAX(20-ROUND(F13*20,0),0)))</f>
        <v>|···················</v>
      </c>
    </row>
    <row r="14" spans="1:10" ht="21.95" customHeight="1" x14ac:dyDescent="0.25">
      <c r="A14" s="1"/>
      <c r="B14" s="21"/>
      <c r="C14" s="22"/>
      <c r="D14" s="22"/>
      <c r="E14" s="22" t="str">
        <f t="shared" si="0"/>
        <v/>
      </c>
      <c r="F14" s="23" t="str">
        <f t="shared" si="1"/>
        <v/>
      </c>
      <c r="G14" s="22"/>
      <c r="H14" s="24"/>
      <c r="I14" s="25" t="str">
        <f t="shared" si="2"/>
        <v/>
      </c>
      <c r="J14" s="26" t="str">
        <f>IF(C14="","",REPT("|",MIN(ROUND(F14*20,0),20))&amp;REPT("·",MAX(20-ROUND(F14*20,0),0)))</f>
        <v/>
      </c>
    </row>
    <row r="15" spans="1:10" ht="21.95" customHeight="1" x14ac:dyDescent="0.25">
      <c r="A15" s="1"/>
      <c r="B15" s="15"/>
      <c r="C15" s="16"/>
      <c r="D15" s="16"/>
      <c r="E15" s="16" t="str">
        <f t="shared" si="0"/>
        <v/>
      </c>
      <c r="F15" s="17" t="str">
        <f t="shared" si="1"/>
        <v/>
      </c>
      <c r="G15" s="16"/>
      <c r="H15" s="18"/>
      <c r="I15" s="19" t="str">
        <f t="shared" si="2"/>
        <v/>
      </c>
      <c r="J15" s="20" t="str">
        <f>IF(C15="","",REPT("|",MIN(ROUND(F15*20,0),20))&amp;REPT("·",MAX(20-ROUND(F15*20,0),0)))</f>
        <v/>
      </c>
    </row>
    <row r="16" spans="1:10" ht="21.95" customHeight="1" x14ac:dyDescent="0.25">
      <c r="A16" s="1"/>
      <c r="B16" s="21"/>
      <c r="C16" s="22"/>
      <c r="D16" s="22"/>
      <c r="E16" s="22" t="str">
        <f t="shared" si="0"/>
        <v/>
      </c>
      <c r="F16" s="23" t="str">
        <f t="shared" si="1"/>
        <v/>
      </c>
      <c r="G16" s="22"/>
      <c r="H16" s="24"/>
      <c r="I16" s="25" t="str">
        <f t="shared" si="2"/>
        <v/>
      </c>
      <c r="J16" s="26" t="str">
        <f>IF(C16="","",REPT("|",MIN(ROUND(F16*20,0),20))&amp;REPT("·",MAX(20-ROUND(F16*20,0),0)))</f>
        <v/>
      </c>
    </row>
    <row r="17" spans="1:10" ht="21.95" customHeight="1" x14ac:dyDescent="0.25">
      <c r="A17" s="1"/>
      <c r="B17" s="15"/>
      <c r="C17" s="16"/>
      <c r="D17" s="16"/>
      <c r="E17" s="16" t="str">
        <f t="shared" si="0"/>
        <v/>
      </c>
      <c r="F17" s="17" t="str">
        <f t="shared" si="1"/>
        <v/>
      </c>
      <c r="G17" s="16"/>
      <c r="H17" s="18"/>
      <c r="I17" s="19" t="str">
        <f t="shared" si="2"/>
        <v/>
      </c>
      <c r="J17" s="20" t="str">
        <f>IF(C17="","",REPT("|",MIN(ROUND(F17*20,0),20))&amp;REPT("·",MAX(20-ROUND(F17*20,0),0)))</f>
        <v/>
      </c>
    </row>
    <row r="18" spans="1:10" ht="21.95" customHeight="1" x14ac:dyDescent="0.25">
      <c r="A18" s="1"/>
      <c r="B18" s="21"/>
      <c r="C18" s="22"/>
      <c r="D18" s="22"/>
      <c r="E18" s="22" t="str">
        <f t="shared" si="0"/>
        <v/>
      </c>
      <c r="F18" s="23" t="str">
        <f t="shared" si="1"/>
        <v/>
      </c>
      <c r="G18" s="22"/>
      <c r="H18" s="24"/>
      <c r="I18" s="25" t="str">
        <f t="shared" si="2"/>
        <v/>
      </c>
      <c r="J18" s="26" t="str">
        <f>IF(C18="","",REPT("|",MIN(ROUND(F18*20,0),20))&amp;REPT("·",MAX(20-ROUND(F18*20,0),0)))</f>
        <v/>
      </c>
    </row>
  </sheetData>
  <sheetProtection sheet="1" objects="1" scenarios="1"/>
  <mergeCells count="12">
    <mergeCell ref="F4:G4"/>
    <mergeCell ref="H5"/>
    <mergeCell ref="B7:J7"/>
    <mergeCell ref="I4:J4"/>
    <mergeCell ref="B1:J2"/>
    <mergeCell ref="B5:C5"/>
    <mergeCell ref="F5:G5"/>
    <mergeCell ref="D5:E5"/>
    <mergeCell ref="I5:J5"/>
    <mergeCell ref="D4:E4"/>
    <mergeCell ref="B4:C4"/>
    <mergeCell ref="H4"/>
  </mergeCells>
  <conditionalFormatting sqref="I9:I18">
    <cfRule type="cellIs" dxfId="5" priority="1" operator="equal">
      <formula>"Complete"</formula>
    </cfRule>
    <cfRule type="cellIs" dxfId="4" priority="2" operator="equal">
      <formula>"On Track"</formula>
    </cfRule>
    <cfRule type="cellIs" dxfId="3" priority="3" operator="equal">
      <formula>"Behind"</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7AE60"/>
  </sheetPr>
  <dimension ref="A1:K13"/>
  <sheetViews>
    <sheetView workbookViewId="0">
      <pane ySplit="2" topLeftCell="A3" activePane="bottomLeft" state="frozen"/>
      <selection pane="bottomLeft" activeCell="B8" sqref="B8"/>
    </sheetView>
  </sheetViews>
  <sheetFormatPr baseColWidth="10" defaultColWidth="9.140625" defaultRowHeight="15" x14ac:dyDescent="0.25"/>
  <cols>
    <col min="1" max="1" width="10.42578125" customWidth="1"/>
    <col min="2" max="2" width="26.7109375" customWidth="1"/>
    <col min="3" max="3" width="21" customWidth="1"/>
    <col min="4" max="4" width="20" customWidth="1"/>
    <col min="5" max="5" width="12.42578125" customWidth="1"/>
    <col min="6" max="7" width="19" customWidth="1"/>
    <col min="8" max="8" width="24.7109375" customWidth="1"/>
    <col min="9" max="9" width="28.5703125" customWidth="1"/>
    <col min="10" max="11" width="22.85546875" customWidth="1"/>
  </cols>
  <sheetData>
    <row r="1" spans="1:11" ht="35.1" customHeight="1" x14ac:dyDescent="0.25">
      <c r="A1" s="13" t="s">
        <v>21</v>
      </c>
      <c r="B1" s="3"/>
      <c r="C1" s="3"/>
      <c r="D1" s="3"/>
      <c r="E1" s="3"/>
      <c r="F1" s="3"/>
      <c r="G1" s="3"/>
      <c r="H1" s="3"/>
      <c r="I1" s="3"/>
      <c r="J1" s="3"/>
      <c r="K1" s="3"/>
    </row>
    <row r="2" spans="1:11" ht="24" customHeight="1" x14ac:dyDescent="0.25">
      <c r="A2" s="14" t="s">
        <v>22</v>
      </c>
      <c r="B2" s="14" t="s">
        <v>7</v>
      </c>
      <c r="C2" s="14" t="s">
        <v>8</v>
      </c>
      <c r="D2" s="14" t="s">
        <v>23</v>
      </c>
      <c r="E2" s="14" t="s">
        <v>24</v>
      </c>
      <c r="F2" s="14" t="s">
        <v>25</v>
      </c>
      <c r="G2" s="14" t="s">
        <v>13</v>
      </c>
      <c r="H2" s="14" t="s">
        <v>12</v>
      </c>
      <c r="I2" s="14" t="s">
        <v>26</v>
      </c>
      <c r="J2" s="14" t="s">
        <v>27</v>
      </c>
      <c r="K2" s="14" t="s">
        <v>28</v>
      </c>
    </row>
    <row r="3" spans="1:11" ht="21.95" customHeight="1" x14ac:dyDescent="0.25">
      <c r="A3" s="19">
        <v>1</v>
      </c>
      <c r="B3" s="33" t="s">
        <v>16</v>
      </c>
      <c r="C3" s="34">
        <v>10000</v>
      </c>
      <c r="D3" s="34">
        <v>3500</v>
      </c>
      <c r="E3" s="35">
        <v>1</v>
      </c>
      <c r="F3" s="36">
        <v>46023</v>
      </c>
      <c r="G3" s="36">
        <v>46037</v>
      </c>
      <c r="H3" s="34">
        <v>200</v>
      </c>
      <c r="I3" s="33" t="s">
        <v>29</v>
      </c>
      <c r="J3" s="27">
        <f ca="1">IF(G3="","",MAX(ROUND((G3-TODAY())/30.44,0),0))</f>
        <v>0</v>
      </c>
      <c r="K3" s="16" t="str">
        <f t="shared" ref="K3:K12" ca="1" si="0">IF(OR(J3="",J3=0),"",(C3-D3)/J3)</f>
        <v/>
      </c>
    </row>
    <row r="4" spans="1:11" ht="21.95" customHeight="1" x14ac:dyDescent="0.25">
      <c r="A4" s="25">
        <v>2</v>
      </c>
      <c r="B4" s="37" t="s">
        <v>17</v>
      </c>
      <c r="C4" s="38">
        <v>3000</v>
      </c>
      <c r="D4" s="38">
        <v>1200</v>
      </c>
      <c r="E4" s="39">
        <v>3</v>
      </c>
      <c r="F4" s="40">
        <v>46023</v>
      </c>
      <c r="G4" s="40">
        <v>46174</v>
      </c>
      <c r="H4" s="38">
        <v>150</v>
      </c>
      <c r="I4" s="37" t="s">
        <v>30</v>
      </c>
      <c r="J4" s="28">
        <f ca="1">IF(G4="","",MAX(ROUND((G4-TODAY())/30.44,0),0))</f>
        <v>3</v>
      </c>
      <c r="K4" s="22">
        <f t="shared" ca="1" si="0"/>
        <v>600</v>
      </c>
    </row>
    <row r="5" spans="1:11" ht="21.95" customHeight="1" x14ac:dyDescent="0.25">
      <c r="A5" s="19">
        <v>3</v>
      </c>
      <c r="B5" s="33" t="s">
        <v>18</v>
      </c>
      <c r="C5" s="34">
        <v>8000</v>
      </c>
      <c r="D5" s="34">
        <v>2000</v>
      </c>
      <c r="E5" s="35">
        <v>2</v>
      </c>
      <c r="F5" s="36">
        <v>46023</v>
      </c>
      <c r="G5" s="36">
        <v>46387</v>
      </c>
      <c r="H5" s="34">
        <v>300</v>
      </c>
      <c r="I5" s="33" t="s">
        <v>31</v>
      </c>
      <c r="J5" s="27">
        <f ca="1">IF(G5="","",MAX(ROUND((G5-TODAY())/30.44,0),0))</f>
        <v>10</v>
      </c>
      <c r="K5" s="16">
        <f t="shared" ca="1" si="0"/>
        <v>600</v>
      </c>
    </row>
    <row r="6" spans="1:11" ht="21.95" customHeight="1" x14ac:dyDescent="0.25">
      <c r="A6" s="25">
        <v>4</v>
      </c>
      <c r="B6" s="37" t="s">
        <v>19</v>
      </c>
      <c r="C6" s="38">
        <v>1500</v>
      </c>
      <c r="D6" s="38">
        <v>400</v>
      </c>
      <c r="E6" s="39">
        <v>4</v>
      </c>
      <c r="F6" s="40">
        <v>46023</v>
      </c>
      <c r="G6" s="40">
        <v>46341</v>
      </c>
      <c r="H6" s="38">
        <v>100</v>
      </c>
      <c r="I6" s="37" t="s">
        <v>32</v>
      </c>
      <c r="J6" s="28">
        <f ca="1">IF(G6="","",MAX(ROUND((G6-TODAY())/30.44,0),0))</f>
        <v>9</v>
      </c>
      <c r="K6" s="22">
        <f t="shared" ca="1" si="0"/>
        <v>122.22222222222223</v>
      </c>
    </row>
    <row r="7" spans="1:11" ht="21.95" customHeight="1" x14ac:dyDescent="0.25">
      <c r="A7" s="19">
        <v>5</v>
      </c>
      <c r="B7" s="33" t="s">
        <v>20</v>
      </c>
      <c r="C7" s="34">
        <v>15000</v>
      </c>
      <c r="D7" s="34">
        <v>1000</v>
      </c>
      <c r="E7" s="35">
        <v>2</v>
      </c>
      <c r="F7" s="36">
        <v>46023</v>
      </c>
      <c r="G7" s="36">
        <v>46447</v>
      </c>
      <c r="H7" s="34">
        <v>400</v>
      </c>
      <c r="I7" s="33" t="s">
        <v>33</v>
      </c>
      <c r="J7" s="27">
        <f ca="1">IF(G7="","",MAX(ROUND((G7-TODAY())/30.44,0),0))</f>
        <v>12</v>
      </c>
      <c r="K7" s="16">
        <f t="shared" ca="1" si="0"/>
        <v>1166.6666666666667</v>
      </c>
    </row>
    <row r="8" spans="1:11" ht="21.95" customHeight="1" x14ac:dyDescent="0.25">
      <c r="A8" s="25">
        <v>6</v>
      </c>
      <c r="B8" s="37"/>
      <c r="C8" s="38"/>
      <c r="D8" s="38"/>
      <c r="E8" s="39"/>
      <c r="F8" s="40"/>
      <c r="G8" s="40"/>
      <c r="H8" s="38"/>
      <c r="I8" s="37"/>
      <c r="J8" s="28" t="str">
        <f ca="1">IF(G8="","",MAX(ROUND((G8-TODAY())/30.44,0),0))</f>
        <v/>
      </c>
      <c r="K8" s="22" t="str">
        <f t="shared" ca="1" si="0"/>
        <v/>
      </c>
    </row>
    <row r="9" spans="1:11" ht="21.95" customHeight="1" x14ac:dyDescent="0.25">
      <c r="A9" s="19">
        <v>7</v>
      </c>
      <c r="B9" s="33"/>
      <c r="C9" s="34"/>
      <c r="D9" s="34"/>
      <c r="E9" s="35"/>
      <c r="F9" s="36"/>
      <c r="G9" s="36"/>
      <c r="H9" s="34"/>
      <c r="I9" s="33"/>
      <c r="J9" s="27" t="str">
        <f ca="1">IF(G9="","",MAX(ROUND((G9-TODAY())/30.44,0),0))</f>
        <v/>
      </c>
      <c r="K9" s="16" t="str">
        <f t="shared" ca="1" si="0"/>
        <v/>
      </c>
    </row>
    <row r="10" spans="1:11" ht="21.95" customHeight="1" x14ac:dyDescent="0.25">
      <c r="A10" s="25">
        <v>8</v>
      </c>
      <c r="B10" s="37"/>
      <c r="C10" s="38"/>
      <c r="D10" s="38"/>
      <c r="E10" s="39"/>
      <c r="F10" s="40"/>
      <c r="G10" s="40"/>
      <c r="H10" s="38"/>
      <c r="I10" s="37"/>
      <c r="J10" s="28" t="str">
        <f ca="1">IF(G10="","",MAX(ROUND((G10-TODAY())/30.44,0),0))</f>
        <v/>
      </c>
      <c r="K10" s="22" t="str">
        <f t="shared" ca="1" si="0"/>
        <v/>
      </c>
    </row>
    <row r="11" spans="1:11" ht="21.95" customHeight="1" x14ac:dyDescent="0.25">
      <c r="A11" s="19">
        <v>9</v>
      </c>
      <c r="B11" s="33"/>
      <c r="C11" s="34"/>
      <c r="D11" s="34"/>
      <c r="E11" s="35"/>
      <c r="F11" s="36"/>
      <c r="G11" s="36"/>
      <c r="H11" s="34"/>
      <c r="I11" s="33"/>
      <c r="J11" s="27" t="str">
        <f ca="1">IF(G11="","",MAX(ROUND((G11-TODAY())/30.44,0),0))</f>
        <v/>
      </c>
      <c r="K11" s="16" t="str">
        <f t="shared" ca="1" si="0"/>
        <v/>
      </c>
    </row>
    <row r="12" spans="1:11" ht="21.95" customHeight="1" x14ac:dyDescent="0.25">
      <c r="A12" s="25">
        <v>10</v>
      </c>
      <c r="B12" s="37"/>
      <c r="C12" s="38"/>
      <c r="D12" s="38"/>
      <c r="E12" s="39"/>
      <c r="F12" s="40"/>
      <c r="G12" s="40"/>
      <c r="H12" s="38"/>
      <c r="I12" s="37"/>
      <c r="J12" s="28" t="str">
        <f ca="1">IF(G12="","",MAX(ROUND((G12-TODAY())/30.44,0),0))</f>
        <v/>
      </c>
      <c r="K12" s="22" t="str">
        <f t="shared" ca="1" si="0"/>
        <v/>
      </c>
    </row>
    <row r="13" spans="1:11" ht="24" customHeight="1" x14ac:dyDescent="0.25">
      <c r="A13" s="29"/>
      <c r="B13" s="29" t="s">
        <v>34</v>
      </c>
      <c r="C13" s="30">
        <f>SUM(C3:C12)</f>
        <v>37500</v>
      </c>
      <c r="D13" s="30">
        <f>SUM(D3:D12)</f>
        <v>8100</v>
      </c>
      <c r="E13" s="29"/>
      <c r="F13" s="29"/>
      <c r="G13" s="29"/>
      <c r="H13" s="30">
        <f>SUM(H3:H12)</f>
        <v>1150</v>
      </c>
      <c r="I13" s="29"/>
      <c r="J13" s="29"/>
      <c r="K13" s="29"/>
    </row>
  </sheetData>
  <sheetProtection sheet="1" objects="1" scenarios="1"/>
  <mergeCells count="1">
    <mergeCell ref="A1:K1"/>
  </mergeCells>
  <conditionalFormatting sqref="K3:K12">
    <cfRule type="expression" dxfId="2" priority="1">
      <formula>AND(K3&lt;&gt;"",H3&lt;&gt;"",K3&gt;H3)</formula>
    </cfRule>
  </conditionalFormatting>
  <dataValidations count="1">
    <dataValidation type="list" allowBlank="1" errorTitle="Invalid" error="Select 1-5" promptTitle="Priority" prompt="1=Highest, 5=Lowest" sqref="E3 E4 E5 E6 E7 E8 E9 E10 E11 E12" xr:uid="{00000000-0002-0000-0100-000000000000}">
      <formula1>"1,2,3,4,5"</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7AE60"/>
  </sheetPr>
  <dimension ref="A1:G17"/>
  <sheetViews>
    <sheetView workbookViewId="0">
      <pane xSplit="1" ySplit="2" topLeftCell="B3" activePane="bottomRight" state="frozen"/>
      <selection pane="topRight"/>
      <selection pane="bottomLeft"/>
      <selection pane="bottomRight" activeCell="C8" sqref="C8"/>
    </sheetView>
  </sheetViews>
  <sheetFormatPr baseColWidth="10" defaultColWidth="9.140625" defaultRowHeight="15" x14ac:dyDescent="0.25"/>
  <cols>
    <col min="1" max="1" width="1" customWidth="1"/>
    <col min="2" max="2" width="29.5703125" customWidth="1"/>
    <col min="3" max="3" width="20" customWidth="1"/>
    <col min="4" max="4" width="23.85546875" customWidth="1"/>
    <col min="5" max="5" width="21.85546875" customWidth="1"/>
    <col min="6" max="6" width="20" customWidth="1"/>
    <col min="7" max="7" width="19" customWidth="1"/>
  </cols>
  <sheetData>
    <row r="1" spans="1:7" ht="35.1" customHeight="1" x14ac:dyDescent="0.25">
      <c r="A1" s="1"/>
      <c r="B1" s="13" t="s">
        <v>35</v>
      </c>
      <c r="C1" s="3"/>
      <c r="D1" s="3"/>
      <c r="E1" s="3"/>
      <c r="F1" s="3"/>
      <c r="G1" s="3"/>
    </row>
    <row r="2" spans="1:7" ht="24" customHeight="1" x14ac:dyDescent="0.25">
      <c r="A2" s="1"/>
      <c r="B2" s="14" t="s">
        <v>36</v>
      </c>
      <c r="C2" s="14" t="s">
        <v>37</v>
      </c>
      <c r="D2" s="14" t="s">
        <v>38</v>
      </c>
      <c r="E2" s="14" t="s">
        <v>39</v>
      </c>
      <c r="F2" s="14" t="s">
        <v>40</v>
      </c>
      <c r="G2" s="14" t="s">
        <v>14</v>
      </c>
    </row>
    <row r="3" spans="1:7" ht="21.95" customHeight="1" x14ac:dyDescent="0.25">
      <c r="A3" s="1"/>
      <c r="B3" s="33" t="s">
        <v>41</v>
      </c>
      <c r="C3" s="34">
        <v>1200</v>
      </c>
      <c r="D3" s="16">
        <f t="shared" ref="D3:D12" si="0">C3/12</f>
        <v>100</v>
      </c>
      <c r="E3" s="34">
        <v>400</v>
      </c>
      <c r="F3" s="36">
        <v>46188</v>
      </c>
      <c r="G3" s="19" t="str">
        <f t="shared" ref="G3:G12" si="1">IF(E3&gt;=D3,"Funded","Underfunded")</f>
        <v>Funded</v>
      </c>
    </row>
    <row r="4" spans="1:7" ht="21.95" customHeight="1" x14ac:dyDescent="0.25">
      <c r="A4" s="1"/>
      <c r="B4" s="37" t="s">
        <v>42</v>
      </c>
      <c r="C4" s="38">
        <v>300</v>
      </c>
      <c r="D4" s="22">
        <f t="shared" si="0"/>
        <v>25</v>
      </c>
      <c r="E4" s="38">
        <v>100</v>
      </c>
      <c r="F4" s="40">
        <v>46266</v>
      </c>
      <c r="G4" s="25" t="str">
        <f t="shared" si="1"/>
        <v>Funded</v>
      </c>
    </row>
    <row r="5" spans="1:7" ht="21.95" customHeight="1" x14ac:dyDescent="0.25">
      <c r="A5" s="1"/>
      <c r="B5" s="33" t="s">
        <v>19</v>
      </c>
      <c r="C5" s="34">
        <v>600</v>
      </c>
      <c r="D5" s="16">
        <f t="shared" si="0"/>
        <v>50</v>
      </c>
      <c r="E5" s="34">
        <v>150</v>
      </c>
      <c r="F5" s="36">
        <v>46357</v>
      </c>
      <c r="G5" s="19" t="str">
        <f t="shared" si="1"/>
        <v>Funded</v>
      </c>
    </row>
    <row r="6" spans="1:7" ht="21.95" customHeight="1" x14ac:dyDescent="0.25">
      <c r="A6" s="1"/>
      <c r="B6" s="37" t="s">
        <v>43</v>
      </c>
      <c r="C6" s="38">
        <v>500</v>
      </c>
      <c r="D6" s="22">
        <f t="shared" si="0"/>
        <v>41.666666666666664</v>
      </c>
      <c r="E6" s="38">
        <v>200</v>
      </c>
      <c r="F6" s="40">
        <v>46082</v>
      </c>
      <c r="G6" s="25" t="str">
        <f t="shared" si="1"/>
        <v>Funded</v>
      </c>
    </row>
    <row r="7" spans="1:7" ht="21.95" customHeight="1" x14ac:dyDescent="0.25">
      <c r="A7" s="1"/>
      <c r="B7" s="33" t="s">
        <v>44</v>
      </c>
      <c r="C7" s="34">
        <v>1000</v>
      </c>
      <c r="D7" s="16">
        <f t="shared" si="0"/>
        <v>83.333333333333329</v>
      </c>
      <c r="E7" s="34">
        <v>300</v>
      </c>
      <c r="F7" s="36">
        <v>46204</v>
      </c>
      <c r="G7" s="19" t="str">
        <f t="shared" si="1"/>
        <v>Funded</v>
      </c>
    </row>
    <row r="8" spans="1:7" ht="21.95" customHeight="1" x14ac:dyDescent="0.25">
      <c r="A8" s="1"/>
      <c r="B8" s="37" t="s">
        <v>45</v>
      </c>
      <c r="C8" s="38">
        <v>400</v>
      </c>
      <c r="D8" s="22">
        <f t="shared" si="0"/>
        <v>33.333333333333336</v>
      </c>
      <c r="E8" s="38">
        <v>100</v>
      </c>
      <c r="F8" s="40">
        <v>46249</v>
      </c>
      <c r="G8" s="25" t="str">
        <f t="shared" si="1"/>
        <v>Funded</v>
      </c>
    </row>
    <row r="9" spans="1:7" ht="21.95" customHeight="1" x14ac:dyDescent="0.25">
      <c r="A9" s="1"/>
      <c r="B9" s="33" t="s">
        <v>46</v>
      </c>
      <c r="C9" s="34">
        <v>300</v>
      </c>
      <c r="D9" s="16">
        <f t="shared" si="0"/>
        <v>25</v>
      </c>
      <c r="E9" s="34">
        <v>125</v>
      </c>
      <c r="F9" s="36">
        <v>46113</v>
      </c>
      <c r="G9" s="19" t="str">
        <f t="shared" si="1"/>
        <v>Funded</v>
      </c>
    </row>
    <row r="10" spans="1:7" ht="21.95" customHeight="1" x14ac:dyDescent="0.25">
      <c r="A10" s="1"/>
      <c r="B10" s="37" t="s">
        <v>17</v>
      </c>
      <c r="C10" s="38">
        <v>2400</v>
      </c>
      <c r="D10" s="22">
        <f t="shared" si="0"/>
        <v>200</v>
      </c>
      <c r="E10" s="38">
        <v>800</v>
      </c>
      <c r="F10" s="40">
        <v>46174</v>
      </c>
      <c r="G10" s="25" t="str">
        <f t="shared" si="1"/>
        <v>Funded</v>
      </c>
    </row>
    <row r="11" spans="1:7" ht="21.95" customHeight="1" x14ac:dyDescent="0.25">
      <c r="A11" s="1"/>
      <c r="B11" s="33" t="s">
        <v>47</v>
      </c>
      <c r="C11" s="34">
        <v>600</v>
      </c>
      <c r="D11" s="16">
        <f t="shared" si="0"/>
        <v>50</v>
      </c>
      <c r="E11" s="34">
        <v>250</v>
      </c>
      <c r="F11" s="36">
        <v>46388</v>
      </c>
      <c r="G11" s="19" t="str">
        <f t="shared" si="1"/>
        <v>Funded</v>
      </c>
    </row>
    <row r="12" spans="1:7" ht="21.95" customHeight="1" x14ac:dyDescent="0.25">
      <c r="A12" s="1"/>
      <c r="B12" s="37" t="s">
        <v>48</v>
      </c>
      <c r="C12" s="38">
        <v>500</v>
      </c>
      <c r="D12" s="22">
        <f t="shared" si="0"/>
        <v>41.666666666666664</v>
      </c>
      <c r="E12" s="38">
        <v>200</v>
      </c>
      <c r="F12" s="40">
        <v>46387</v>
      </c>
      <c r="G12" s="25" t="str">
        <f t="shared" si="1"/>
        <v>Funded</v>
      </c>
    </row>
    <row r="13" spans="1:7" ht="8.1" customHeight="1" x14ac:dyDescent="0.25">
      <c r="A13" s="1"/>
      <c r="B13" s="1"/>
      <c r="C13" s="1"/>
      <c r="D13" s="1"/>
      <c r="E13" s="1"/>
      <c r="F13" s="1"/>
      <c r="G13" s="1"/>
    </row>
    <row r="14" spans="1:7" ht="24" customHeight="1" x14ac:dyDescent="0.25">
      <c r="A14" s="1"/>
      <c r="B14" s="29" t="s">
        <v>34</v>
      </c>
      <c r="C14" s="30">
        <f>SUM(C3:C12)</f>
        <v>7800</v>
      </c>
      <c r="D14" s="30">
        <f>SUM(D3:D12)</f>
        <v>649.99999999999989</v>
      </c>
      <c r="E14" s="30">
        <f>SUM(E3:E12)</f>
        <v>2625</v>
      </c>
      <c r="F14" s="29"/>
      <c r="G14" s="29"/>
    </row>
    <row r="15" spans="1:7" ht="8.1" customHeight="1" x14ac:dyDescent="0.25">
      <c r="A15" s="1"/>
      <c r="B15" s="1"/>
      <c r="C15" s="1"/>
      <c r="D15" s="1"/>
      <c r="E15" s="1"/>
      <c r="F15" s="1"/>
      <c r="G15" s="1"/>
    </row>
    <row r="16" spans="1:7" ht="21.95" customHeight="1" x14ac:dyDescent="0.25">
      <c r="A16" s="1"/>
      <c r="B16" s="31" t="s">
        <v>49</v>
      </c>
      <c r="C16" s="32">
        <f>C14</f>
        <v>7800</v>
      </c>
      <c r="D16" s="1"/>
      <c r="E16" s="1"/>
      <c r="F16" s="1"/>
      <c r="G16" s="1"/>
    </row>
    <row r="17" spans="1:7" ht="21.95" customHeight="1" x14ac:dyDescent="0.25">
      <c r="A17" s="1"/>
      <c r="B17" s="31" t="s">
        <v>50</v>
      </c>
      <c r="C17" s="32">
        <f>D14</f>
        <v>649.99999999999989</v>
      </c>
      <c r="D17" s="1"/>
      <c r="E17" s="1"/>
      <c r="F17" s="1"/>
      <c r="G17" s="1"/>
    </row>
  </sheetData>
  <sheetProtection sheet="1" objects="1" scenarios="1"/>
  <mergeCells count="1">
    <mergeCell ref="B1:G1"/>
  </mergeCells>
  <conditionalFormatting sqref="G3:G12">
    <cfRule type="cellIs" dxfId="1" priority="1" operator="equal">
      <formula>"Funded"</formula>
    </cfRule>
    <cfRule type="cellIs" dxfId="0" priority="2" operator="equal">
      <formula>"Underfunded"</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7AE60"/>
  </sheetPr>
  <dimension ref="A1:G152"/>
  <sheetViews>
    <sheetView workbookViewId="0">
      <pane xSplit="1" ySplit="2" topLeftCell="B3" activePane="bottomRight" state="frozen"/>
      <selection pane="topRight"/>
      <selection pane="bottomLeft"/>
      <selection pane="bottomRight" activeCell="F15" sqref="F15"/>
    </sheetView>
  </sheetViews>
  <sheetFormatPr baseColWidth="10" defaultColWidth="9.140625" defaultRowHeight="15" x14ac:dyDescent="0.25"/>
  <cols>
    <col min="1" max="1" width="1" customWidth="1"/>
    <col min="2" max="2" width="19" customWidth="1"/>
    <col min="3" max="3" width="27.5703125" customWidth="1"/>
    <col min="4" max="4" width="18.140625" customWidth="1"/>
    <col min="5" max="5" width="16.140625" customWidth="1"/>
    <col min="6" max="6" width="21.85546875" customWidth="1"/>
    <col min="7" max="7" width="31.42578125" customWidth="1"/>
  </cols>
  <sheetData>
    <row r="1" spans="1:7" ht="35.1" customHeight="1" x14ac:dyDescent="0.25">
      <c r="A1" s="1"/>
      <c r="B1" s="13" t="s">
        <v>51</v>
      </c>
      <c r="C1" s="3"/>
      <c r="D1" s="3"/>
      <c r="E1" s="3"/>
      <c r="F1" s="3"/>
      <c r="G1" s="3"/>
    </row>
    <row r="2" spans="1:7" ht="24" customHeight="1" x14ac:dyDescent="0.25">
      <c r="A2" s="1"/>
      <c r="B2" s="14" t="s">
        <v>52</v>
      </c>
      <c r="C2" s="14" t="s">
        <v>53</v>
      </c>
      <c r="D2" s="14" t="s">
        <v>54</v>
      </c>
      <c r="E2" s="14" t="s">
        <v>55</v>
      </c>
      <c r="F2" s="14" t="s">
        <v>56</v>
      </c>
      <c r="G2" s="14" t="s">
        <v>26</v>
      </c>
    </row>
    <row r="3" spans="1:7" ht="21.95" customHeight="1" x14ac:dyDescent="0.25">
      <c r="A3" s="1"/>
      <c r="B3" s="36">
        <v>46027</v>
      </c>
      <c r="C3" s="33" t="s">
        <v>16</v>
      </c>
      <c r="D3" s="34">
        <v>200</v>
      </c>
      <c r="E3" s="35" t="s">
        <v>57</v>
      </c>
      <c r="F3" s="16">
        <f>IF(D3="","",IF(E3="Deposit",D3,-D3))</f>
        <v>200</v>
      </c>
      <c r="G3" s="33" t="s">
        <v>58</v>
      </c>
    </row>
    <row r="4" spans="1:7" ht="21.95" customHeight="1" x14ac:dyDescent="0.25">
      <c r="A4" s="1"/>
      <c r="B4" s="40">
        <v>46027</v>
      </c>
      <c r="C4" s="37" t="s">
        <v>17</v>
      </c>
      <c r="D4" s="38">
        <v>150</v>
      </c>
      <c r="E4" s="39" t="s">
        <v>57</v>
      </c>
      <c r="F4" s="22">
        <f t="shared" ref="F4:F35" si="0">IF(D4="","",IF(F3="",0,F3)+IF(E4="Deposit",D4,-D4))</f>
        <v>350</v>
      </c>
      <c r="G4" s="37" t="s">
        <v>58</v>
      </c>
    </row>
    <row r="5" spans="1:7" ht="21.95" customHeight="1" x14ac:dyDescent="0.25">
      <c r="A5" s="1"/>
      <c r="B5" s="36">
        <v>46027</v>
      </c>
      <c r="C5" s="33" t="s">
        <v>18</v>
      </c>
      <c r="D5" s="34">
        <v>300</v>
      </c>
      <c r="E5" s="35" t="s">
        <v>57</v>
      </c>
      <c r="F5" s="16">
        <f t="shared" si="0"/>
        <v>650</v>
      </c>
      <c r="G5" s="33" t="s">
        <v>58</v>
      </c>
    </row>
    <row r="6" spans="1:7" ht="21.95" customHeight="1" x14ac:dyDescent="0.25">
      <c r="A6" s="1"/>
      <c r="B6" s="40">
        <v>46034</v>
      </c>
      <c r="C6" s="37" t="s">
        <v>19</v>
      </c>
      <c r="D6" s="38">
        <v>100</v>
      </c>
      <c r="E6" s="39" t="s">
        <v>57</v>
      </c>
      <c r="F6" s="22">
        <f t="shared" si="0"/>
        <v>750</v>
      </c>
      <c r="G6" s="37" t="s">
        <v>59</v>
      </c>
    </row>
    <row r="7" spans="1:7" ht="21.95" customHeight="1" x14ac:dyDescent="0.25">
      <c r="A7" s="1"/>
      <c r="B7" s="36">
        <v>46037</v>
      </c>
      <c r="C7" s="33" t="s">
        <v>20</v>
      </c>
      <c r="D7" s="34">
        <v>400</v>
      </c>
      <c r="E7" s="35" t="s">
        <v>57</v>
      </c>
      <c r="F7" s="16">
        <f t="shared" si="0"/>
        <v>1150</v>
      </c>
      <c r="G7" s="33" t="s">
        <v>60</v>
      </c>
    </row>
    <row r="8" spans="1:7" ht="21.95" customHeight="1" x14ac:dyDescent="0.25">
      <c r="A8" s="1"/>
      <c r="B8" s="40">
        <v>46042</v>
      </c>
      <c r="C8" s="37" t="s">
        <v>16</v>
      </c>
      <c r="D8" s="38">
        <v>100</v>
      </c>
      <c r="E8" s="39" t="s">
        <v>57</v>
      </c>
      <c r="F8" s="22">
        <f t="shared" si="0"/>
        <v>1250</v>
      </c>
      <c r="G8" s="37" t="s">
        <v>61</v>
      </c>
    </row>
    <row r="9" spans="1:7" ht="21.95" customHeight="1" x14ac:dyDescent="0.25">
      <c r="A9" s="1"/>
      <c r="B9" s="36"/>
      <c r="C9" s="33"/>
      <c r="D9" s="34"/>
      <c r="E9" s="35"/>
      <c r="F9" s="16" t="str">
        <f t="shared" si="0"/>
        <v/>
      </c>
      <c r="G9" s="33"/>
    </row>
    <row r="10" spans="1:7" ht="21.95" customHeight="1" x14ac:dyDescent="0.25">
      <c r="A10" s="1"/>
      <c r="B10" s="40"/>
      <c r="C10" s="37"/>
      <c r="D10" s="38"/>
      <c r="E10" s="39"/>
      <c r="F10" s="22" t="str">
        <f t="shared" si="0"/>
        <v/>
      </c>
      <c r="G10" s="37"/>
    </row>
    <row r="11" spans="1:7" ht="21.95" customHeight="1" x14ac:dyDescent="0.25">
      <c r="A11" s="1"/>
      <c r="B11" s="36"/>
      <c r="C11" s="33"/>
      <c r="D11" s="34"/>
      <c r="E11" s="35"/>
      <c r="F11" s="16" t="str">
        <f t="shared" si="0"/>
        <v/>
      </c>
      <c r="G11" s="33"/>
    </row>
    <row r="12" spans="1:7" ht="21.95" customHeight="1" x14ac:dyDescent="0.25">
      <c r="A12" s="1"/>
      <c r="B12" s="40"/>
      <c r="C12" s="37"/>
      <c r="D12" s="38"/>
      <c r="E12" s="39"/>
      <c r="F12" s="22" t="str">
        <f t="shared" si="0"/>
        <v/>
      </c>
      <c r="G12" s="37"/>
    </row>
    <row r="13" spans="1:7" ht="21.95" customHeight="1" x14ac:dyDescent="0.25">
      <c r="A13" s="1"/>
      <c r="B13" s="36"/>
      <c r="C13" s="33"/>
      <c r="D13" s="34"/>
      <c r="E13" s="35"/>
      <c r="F13" s="16" t="str">
        <f t="shared" si="0"/>
        <v/>
      </c>
      <c r="G13" s="33"/>
    </row>
    <row r="14" spans="1:7" ht="21.95" customHeight="1" x14ac:dyDescent="0.25">
      <c r="A14" s="1"/>
      <c r="B14" s="40"/>
      <c r="C14" s="37"/>
      <c r="D14" s="38"/>
      <c r="E14" s="39"/>
      <c r="F14" s="22" t="str">
        <f t="shared" si="0"/>
        <v/>
      </c>
      <c r="G14" s="37"/>
    </row>
    <row r="15" spans="1:7" ht="21.95" customHeight="1" x14ac:dyDescent="0.25">
      <c r="A15" s="1"/>
      <c r="B15" s="36"/>
      <c r="C15" s="33"/>
      <c r="D15" s="34"/>
      <c r="E15" s="35"/>
      <c r="F15" s="16" t="str">
        <f t="shared" si="0"/>
        <v/>
      </c>
      <c r="G15" s="33"/>
    </row>
    <row r="16" spans="1:7" ht="21.95" customHeight="1" x14ac:dyDescent="0.25">
      <c r="A16" s="1"/>
      <c r="B16" s="40"/>
      <c r="C16" s="37"/>
      <c r="D16" s="38"/>
      <c r="E16" s="39"/>
      <c r="F16" s="22" t="str">
        <f t="shared" si="0"/>
        <v/>
      </c>
      <c r="G16" s="37"/>
    </row>
    <row r="17" spans="1:7" ht="21.95" customHeight="1" x14ac:dyDescent="0.25">
      <c r="A17" s="1"/>
      <c r="B17" s="36"/>
      <c r="C17" s="33"/>
      <c r="D17" s="34"/>
      <c r="E17" s="35"/>
      <c r="F17" s="16" t="str">
        <f t="shared" si="0"/>
        <v/>
      </c>
      <c r="G17" s="33"/>
    </row>
    <row r="18" spans="1:7" ht="21.95" customHeight="1" x14ac:dyDescent="0.25">
      <c r="A18" s="1"/>
      <c r="B18" s="40"/>
      <c r="C18" s="37"/>
      <c r="D18" s="38"/>
      <c r="E18" s="39"/>
      <c r="F18" s="22" t="str">
        <f t="shared" si="0"/>
        <v/>
      </c>
      <c r="G18" s="37"/>
    </row>
    <row r="19" spans="1:7" ht="21.95" customHeight="1" x14ac:dyDescent="0.25">
      <c r="A19" s="1"/>
      <c r="B19" s="36"/>
      <c r="C19" s="33"/>
      <c r="D19" s="34"/>
      <c r="E19" s="35"/>
      <c r="F19" s="16" t="str">
        <f t="shared" si="0"/>
        <v/>
      </c>
      <c r="G19" s="33"/>
    </row>
    <row r="20" spans="1:7" ht="21.95" customHeight="1" x14ac:dyDescent="0.25">
      <c r="A20" s="1"/>
      <c r="B20" s="40"/>
      <c r="C20" s="37"/>
      <c r="D20" s="38"/>
      <c r="E20" s="39"/>
      <c r="F20" s="22" t="str">
        <f t="shared" si="0"/>
        <v/>
      </c>
      <c r="G20" s="37"/>
    </row>
    <row r="21" spans="1:7" ht="21.95" customHeight="1" x14ac:dyDescent="0.25">
      <c r="A21" s="1"/>
      <c r="B21" s="36"/>
      <c r="C21" s="33"/>
      <c r="D21" s="34"/>
      <c r="E21" s="35"/>
      <c r="F21" s="16" t="str">
        <f t="shared" si="0"/>
        <v/>
      </c>
      <c r="G21" s="33"/>
    </row>
    <row r="22" spans="1:7" ht="21.95" customHeight="1" x14ac:dyDescent="0.25">
      <c r="A22" s="1"/>
      <c r="B22" s="40"/>
      <c r="C22" s="37"/>
      <c r="D22" s="38"/>
      <c r="E22" s="39"/>
      <c r="F22" s="22" t="str">
        <f t="shared" si="0"/>
        <v/>
      </c>
      <c r="G22" s="37"/>
    </row>
    <row r="23" spans="1:7" ht="21.95" customHeight="1" x14ac:dyDescent="0.25">
      <c r="A23" s="1"/>
      <c r="B23" s="36"/>
      <c r="C23" s="33"/>
      <c r="D23" s="34"/>
      <c r="E23" s="35"/>
      <c r="F23" s="16" t="str">
        <f t="shared" si="0"/>
        <v/>
      </c>
      <c r="G23" s="33"/>
    </row>
    <row r="24" spans="1:7" ht="21.95" customHeight="1" x14ac:dyDescent="0.25">
      <c r="A24" s="1"/>
      <c r="B24" s="40"/>
      <c r="C24" s="37"/>
      <c r="D24" s="38"/>
      <c r="E24" s="39"/>
      <c r="F24" s="22" t="str">
        <f t="shared" si="0"/>
        <v/>
      </c>
      <c r="G24" s="37"/>
    </row>
    <row r="25" spans="1:7" ht="21.95" customHeight="1" x14ac:dyDescent="0.25">
      <c r="A25" s="1"/>
      <c r="B25" s="36"/>
      <c r="C25" s="33"/>
      <c r="D25" s="34"/>
      <c r="E25" s="35"/>
      <c r="F25" s="16" t="str">
        <f t="shared" si="0"/>
        <v/>
      </c>
      <c r="G25" s="33"/>
    </row>
    <row r="26" spans="1:7" ht="21.95" customHeight="1" x14ac:dyDescent="0.25">
      <c r="A26" s="1"/>
      <c r="B26" s="40"/>
      <c r="C26" s="37"/>
      <c r="D26" s="38"/>
      <c r="E26" s="39"/>
      <c r="F26" s="22" t="str">
        <f t="shared" si="0"/>
        <v/>
      </c>
      <c r="G26" s="37"/>
    </row>
    <row r="27" spans="1:7" ht="21.95" customHeight="1" x14ac:dyDescent="0.25">
      <c r="A27" s="1"/>
      <c r="B27" s="36"/>
      <c r="C27" s="33"/>
      <c r="D27" s="34"/>
      <c r="E27" s="35"/>
      <c r="F27" s="16" t="str">
        <f t="shared" si="0"/>
        <v/>
      </c>
      <c r="G27" s="33"/>
    </row>
    <row r="28" spans="1:7" ht="21.95" customHeight="1" x14ac:dyDescent="0.25">
      <c r="A28" s="1"/>
      <c r="B28" s="40"/>
      <c r="C28" s="37"/>
      <c r="D28" s="38"/>
      <c r="E28" s="39"/>
      <c r="F28" s="22" t="str">
        <f t="shared" si="0"/>
        <v/>
      </c>
      <c r="G28" s="37"/>
    </row>
    <row r="29" spans="1:7" ht="21.95" customHeight="1" x14ac:dyDescent="0.25">
      <c r="A29" s="1"/>
      <c r="B29" s="36"/>
      <c r="C29" s="33"/>
      <c r="D29" s="34"/>
      <c r="E29" s="35"/>
      <c r="F29" s="16" t="str">
        <f t="shared" si="0"/>
        <v/>
      </c>
      <c r="G29" s="33"/>
    </row>
    <row r="30" spans="1:7" ht="21.95" customHeight="1" x14ac:dyDescent="0.25">
      <c r="A30" s="1"/>
      <c r="B30" s="40"/>
      <c r="C30" s="37"/>
      <c r="D30" s="38"/>
      <c r="E30" s="39"/>
      <c r="F30" s="22" t="str">
        <f t="shared" si="0"/>
        <v/>
      </c>
      <c r="G30" s="37"/>
    </row>
    <row r="31" spans="1:7" ht="21.95" customHeight="1" x14ac:dyDescent="0.25">
      <c r="A31" s="1"/>
      <c r="B31" s="36"/>
      <c r="C31" s="33"/>
      <c r="D31" s="34"/>
      <c r="E31" s="35"/>
      <c r="F31" s="16" t="str">
        <f t="shared" si="0"/>
        <v/>
      </c>
      <c r="G31" s="33"/>
    </row>
    <row r="32" spans="1:7" ht="21.95" customHeight="1" x14ac:dyDescent="0.25">
      <c r="A32" s="1"/>
      <c r="B32" s="40"/>
      <c r="C32" s="37"/>
      <c r="D32" s="38"/>
      <c r="E32" s="39"/>
      <c r="F32" s="22" t="str">
        <f t="shared" si="0"/>
        <v/>
      </c>
      <c r="G32" s="37"/>
    </row>
    <row r="33" spans="1:7" ht="21.95" customHeight="1" x14ac:dyDescent="0.25">
      <c r="A33" s="1"/>
      <c r="B33" s="36"/>
      <c r="C33" s="33"/>
      <c r="D33" s="34"/>
      <c r="E33" s="35"/>
      <c r="F33" s="16" t="str">
        <f t="shared" si="0"/>
        <v/>
      </c>
      <c r="G33" s="33"/>
    </row>
    <row r="34" spans="1:7" ht="21.95" customHeight="1" x14ac:dyDescent="0.25">
      <c r="A34" s="1"/>
      <c r="B34" s="40"/>
      <c r="C34" s="37"/>
      <c r="D34" s="38"/>
      <c r="E34" s="39"/>
      <c r="F34" s="22" t="str">
        <f t="shared" si="0"/>
        <v/>
      </c>
      <c r="G34" s="37"/>
    </row>
    <row r="35" spans="1:7" ht="21.95" customHeight="1" x14ac:dyDescent="0.25">
      <c r="A35" s="1"/>
      <c r="B35" s="36"/>
      <c r="C35" s="33"/>
      <c r="D35" s="34"/>
      <c r="E35" s="35"/>
      <c r="F35" s="16" t="str">
        <f t="shared" si="0"/>
        <v/>
      </c>
      <c r="G35" s="33"/>
    </row>
    <row r="36" spans="1:7" ht="21.95" customHeight="1" x14ac:dyDescent="0.25">
      <c r="A36" s="1"/>
      <c r="B36" s="40"/>
      <c r="C36" s="37"/>
      <c r="D36" s="38"/>
      <c r="E36" s="39"/>
      <c r="F36" s="22" t="str">
        <f t="shared" ref="F36:F67" si="1">IF(D36="","",IF(F35="",0,F35)+IF(E36="Deposit",D36,-D36))</f>
        <v/>
      </c>
      <c r="G36" s="37"/>
    </row>
    <row r="37" spans="1:7" ht="21.95" customHeight="1" x14ac:dyDescent="0.25">
      <c r="A37" s="1"/>
      <c r="B37" s="36"/>
      <c r="C37" s="33"/>
      <c r="D37" s="34"/>
      <c r="E37" s="35"/>
      <c r="F37" s="16" t="str">
        <f t="shared" si="1"/>
        <v/>
      </c>
      <c r="G37" s="33"/>
    </row>
    <row r="38" spans="1:7" ht="21.95" customHeight="1" x14ac:dyDescent="0.25">
      <c r="A38" s="1"/>
      <c r="B38" s="40"/>
      <c r="C38" s="37"/>
      <c r="D38" s="38"/>
      <c r="E38" s="39"/>
      <c r="F38" s="22" t="str">
        <f t="shared" si="1"/>
        <v/>
      </c>
      <c r="G38" s="37"/>
    </row>
    <row r="39" spans="1:7" ht="21.95" customHeight="1" x14ac:dyDescent="0.25">
      <c r="A39" s="1"/>
      <c r="B39" s="36"/>
      <c r="C39" s="33"/>
      <c r="D39" s="34"/>
      <c r="E39" s="35"/>
      <c r="F39" s="16" t="str">
        <f t="shared" si="1"/>
        <v/>
      </c>
      <c r="G39" s="33"/>
    </row>
    <row r="40" spans="1:7" ht="21.95" customHeight="1" x14ac:dyDescent="0.25">
      <c r="A40" s="1"/>
      <c r="B40" s="40"/>
      <c r="C40" s="37"/>
      <c r="D40" s="38"/>
      <c r="E40" s="39"/>
      <c r="F40" s="22" t="str">
        <f t="shared" si="1"/>
        <v/>
      </c>
      <c r="G40" s="37"/>
    </row>
    <row r="41" spans="1:7" ht="21.95" customHeight="1" x14ac:dyDescent="0.25">
      <c r="A41" s="1"/>
      <c r="B41" s="36"/>
      <c r="C41" s="33"/>
      <c r="D41" s="34"/>
      <c r="E41" s="35"/>
      <c r="F41" s="16" t="str">
        <f t="shared" si="1"/>
        <v/>
      </c>
      <c r="G41" s="33"/>
    </row>
    <row r="42" spans="1:7" ht="21.95" customHeight="1" x14ac:dyDescent="0.25">
      <c r="A42" s="1"/>
      <c r="B42" s="40"/>
      <c r="C42" s="37"/>
      <c r="D42" s="38"/>
      <c r="E42" s="39"/>
      <c r="F42" s="22" t="str">
        <f t="shared" si="1"/>
        <v/>
      </c>
      <c r="G42" s="37"/>
    </row>
    <row r="43" spans="1:7" ht="21.95" customHeight="1" x14ac:dyDescent="0.25">
      <c r="A43" s="1"/>
      <c r="B43" s="36"/>
      <c r="C43" s="33"/>
      <c r="D43" s="34"/>
      <c r="E43" s="35"/>
      <c r="F43" s="16" t="str">
        <f t="shared" si="1"/>
        <v/>
      </c>
      <c r="G43" s="33"/>
    </row>
    <row r="44" spans="1:7" ht="21.95" customHeight="1" x14ac:dyDescent="0.25">
      <c r="A44" s="1"/>
      <c r="B44" s="40"/>
      <c r="C44" s="37"/>
      <c r="D44" s="38"/>
      <c r="E44" s="39"/>
      <c r="F44" s="22" t="str">
        <f t="shared" si="1"/>
        <v/>
      </c>
      <c r="G44" s="37"/>
    </row>
    <row r="45" spans="1:7" ht="21.95" customHeight="1" x14ac:dyDescent="0.25">
      <c r="A45" s="1"/>
      <c r="B45" s="36"/>
      <c r="C45" s="33"/>
      <c r="D45" s="34"/>
      <c r="E45" s="35"/>
      <c r="F45" s="16" t="str">
        <f t="shared" si="1"/>
        <v/>
      </c>
      <c r="G45" s="33"/>
    </row>
    <row r="46" spans="1:7" ht="21.95" customHeight="1" x14ac:dyDescent="0.25">
      <c r="A46" s="1"/>
      <c r="B46" s="40"/>
      <c r="C46" s="37"/>
      <c r="D46" s="38"/>
      <c r="E46" s="39"/>
      <c r="F46" s="22" t="str">
        <f t="shared" si="1"/>
        <v/>
      </c>
      <c r="G46" s="37"/>
    </row>
    <row r="47" spans="1:7" ht="21.95" customHeight="1" x14ac:dyDescent="0.25">
      <c r="A47" s="1"/>
      <c r="B47" s="36"/>
      <c r="C47" s="33"/>
      <c r="D47" s="34"/>
      <c r="E47" s="35"/>
      <c r="F47" s="16" t="str">
        <f t="shared" si="1"/>
        <v/>
      </c>
      <c r="G47" s="33"/>
    </row>
    <row r="48" spans="1:7" ht="21.95" customHeight="1" x14ac:dyDescent="0.25">
      <c r="A48" s="1"/>
      <c r="B48" s="40"/>
      <c r="C48" s="37"/>
      <c r="D48" s="38"/>
      <c r="E48" s="39"/>
      <c r="F48" s="22" t="str">
        <f t="shared" si="1"/>
        <v/>
      </c>
      <c r="G48" s="37"/>
    </row>
    <row r="49" spans="1:7" ht="21.95" customHeight="1" x14ac:dyDescent="0.25">
      <c r="A49" s="1"/>
      <c r="B49" s="36"/>
      <c r="C49" s="33"/>
      <c r="D49" s="34"/>
      <c r="E49" s="35"/>
      <c r="F49" s="16" t="str">
        <f t="shared" si="1"/>
        <v/>
      </c>
      <c r="G49" s="33"/>
    </row>
    <row r="50" spans="1:7" ht="21.95" customHeight="1" x14ac:dyDescent="0.25">
      <c r="A50" s="1"/>
      <c r="B50" s="40"/>
      <c r="C50" s="37"/>
      <c r="D50" s="38"/>
      <c r="E50" s="39"/>
      <c r="F50" s="22" t="str">
        <f t="shared" si="1"/>
        <v/>
      </c>
      <c r="G50" s="37"/>
    </row>
    <row r="51" spans="1:7" ht="21.95" customHeight="1" x14ac:dyDescent="0.25">
      <c r="A51" s="1"/>
      <c r="B51" s="36"/>
      <c r="C51" s="33"/>
      <c r="D51" s="34"/>
      <c r="E51" s="35"/>
      <c r="F51" s="16" t="str">
        <f t="shared" si="1"/>
        <v/>
      </c>
      <c r="G51" s="33"/>
    </row>
    <row r="52" spans="1:7" ht="21.95" customHeight="1" x14ac:dyDescent="0.25">
      <c r="A52" s="1"/>
      <c r="B52" s="40"/>
      <c r="C52" s="37"/>
      <c r="D52" s="38"/>
      <c r="E52" s="39"/>
      <c r="F52" s="22" t="str">
        <f t="shared" si="1"/>
        <v/>
      </c>
      <c r="G52" s="37"/>
    </row>
    <row r="53" spans="1:7" ht="21.95" customHeight="1" x14ac:dyDescent="0.25">
      <c r="A53" s="1"/>
      <c r="B53" s="36"/>
      <c r="C53" s="33"/>
      <c r="D53" s="34"/>
      <c r="E53" s="35"/>
      <c r="F53" s="16" t="str">
        <f t="shared" si="1"/>
        <v/>
      </c>
      <c r="G53" s="33"/>
    </row>
    <row r="54" spans="1:7" ht="21.95" customHeight="1" x14ac:dyDescent="0.25">
      <c r="A54" s="1"/>
      <c r="B54" s="40"/>
      <c r="C54" s="37"/>
      <c r="D54" s="38"/>
      <c r="E54" s="39"/>
      <c r="F54" s="22" t="str">
        <f t="shared" si="1"/>
        <v/>
      </c>
      <c r="G54" s="37"/>
    </row>
    <row r="55" spans="1:7" ht="21.95" customHeight="1" x14ac:dyDescent="0.25">
      <c r="A55" s="1"/>
      <c r="B55" s="36"/>
      <c r="C55" s="33"/>
      <c r="D55" s="34"/>
      <c r="E55" s="35"/>
      <c r="F55" s="16" t="str">
        <f t="shared" si="1"/>
        <v/>
      </c>
      <c r="G55" s="33"/>
    </row>
    <row r="56" spans="1:7" ht="21.95" customHeight="1" x14ac:dyDescent="0.25">
      <c r="A56" s="1"/>
      <c r="B56" s="40"/>
      <c r="C56" s="37"/>
      <c r="D56" s="38"/>
      <c r="E56" s="39"/>
      <c r="F56" s="22" t="str">
        <f t="shared" si="1"/>
        <v/>
      </c>
      <c r="G56" s="37"/>
    </row>
    <row r="57" spans="1:7" ht="21.95" customHeight="1" x14ac:dyDescent="0.25">
      <c r="A57" s="1"/>
      <c r="B57" s="36"/>
      <c r="C57" s="33"/>
      <c r="D57" s="34"/>
      <c r="E57" s="35"/>
      <c r="F57" s="16" t="str">
        <f t="shared" si="1"/>
        <v/>
      </c>
      <c r="G57" s="33"/>
    </row>
    <row r="58" spans="1:7" ht="21.95" customHeight="1" x14ac:dyDescent="0.25">
      <c r="A58" s="1"/>
      <c r="B58" s="40"/>
      <c r="C58" s="37"/>
      <c r="D58" s="38"/>
      <c r="E58" s="39"/>
      <c r="F58" s="22" t="str">
        <f t="shared" si="1"/>
        <v/>
      </c>
      <c r="G58" s="37"/>
    </row>
    <row r="59" spans="1:7" ht="21.95" customHeight="1" x14ac:dyDescent="0.25">
      <c r="A59" s="1"/>
      <c r="B59" s="36"/>
      <c r="C59" s="33"/>
      <c r="D59" s="34"/>
      <c r="E59" s="35"/>
      <c r="F59" s="16" t="str">
        <f t="shared" si="1"/>
        <v/>
      </c>
      <c r="G59" s="33"/>
    </row>
    <row r="60" spans="1:7" ht="21.95" customHeight="1" x14ac:dyDescent="0.25">
      <c r="A60" s="1"/>
      <c r="B60" s="40"/>
      <c r="C60" s="37"/>
      <c r="D60" s="38"/>
      <c r="E60" s="39"/>
      <c r="F60" s="22" t="str">
        <f t="shared" si="1"/>
        <v/>
      </c>
      <c r="G60" s="37"/>
    </row>
    <row r="61" spans="1:7" ht="21.95" customHeight="1" x14ac:dyDescent="0.25">
      <c r="A61" s="1"/>
      <c r="B61" s="36"/>
      <c r="C61" s="33"/>
      <c r="D61" s="34"/>
      <c r="E61" s="35"/>
      <c r="F61" s="16" t="str">
        <f t="shared" si="1"/>
        <v/>
      </c>
      <c r="G61" s="33"/>
    </row>
    <row r="62" spans="1:7" ht="21.95" customHeight="1" x14ac:dyDescent="0.25">
      <c r="A62" s="1"/>
      <c r="B62" s="40"/>
      <c r="C62" s="37"/>
      <c r="D62" s="38"/>
      <c r="E62" s="39"/>
      <c r="F62" s="22" t="str">
        <f t="shared" si="1"/>
        <v/>
      </c>
      <c r="G62" s="37"/>
    </row>
    <row r="63" spans="1:7" ht="21.95" customHeight="1" x14ac:dyDescent="0.25">
      <c r="A63" s="1"/>
      <c r="B63" s="36"/>
      <c r="C63" s="33"/>
      <c r="D63" s="34"/>
      <c r="E63" s="35"/>
      <c r="F63" s="16" t="str">
        <f t="shared" si="1"/>
        <v/>
      </c>
      <c r="G63" s="33"/>
    </row>
    <row r="64" spans="1:7" ht="21.95" customHeight="1" x14ac:dyDescent="0.25">
      <c r="A64" s="1"/>
      <c r="B64" s="40"/>
      <c r="C64" s="37"/>
      <c r="D64" s="38"/>
      <c r="E64" s="39"/>
      <c r="F64" s="22" t="str">
        <f t="shared" si="1"/>
        <v/>
      </c>
      <c r="G64" s="37"/>
    </row>
    <row r="65" spans="1:7" ht="21.95" customHeight="1" x14ac:dyDescent="0.25">
      <c r="A65" s="1"/>
      <c r="B65" s="36"/>
      <c r="C65" s="33"/>
      <c r="D65" s="34"/>
      <c r="E65" s="35"/>
      <c r="F65" s="16" t="str">
        <f t="shared" si="1"/>
        <v/>
      </c>
      <c r="G65" s="33"/>
    </row>
    <row r="66" spans="1:7" ht="21.95" customHeight="1" x14ac:dyDescent="0.25">
      <c r="A66" s="1"/>
      <c r="B66" s="40"/>
      <c r="C66" s="37"/>
      <c r="D66" s="38"/>
      <c r="E66" s="39"/>
      <c r="F66" s="22" t="str">
        <f t="shared" si="1"/>
        <v/>
      </c>
      <c r="G66" s="37"/>
    </row>
    <row r="67" spans="1:7" ht="21.95" customHeight="1" x14ac:dyDescent="0.25">
      <c r="A67" s="1"/>
      <c r="B67" s="36"/>
      <c r="C67" s="33"/>
      <c r="D67" s="34"/>
      <c r="E67" s="35"/>
      <c r="F67" s="16" t="str">
        <f t="shared" si="1"/>
        <v/>
      </c>
      <c r="G67" s="33"/>
    </row>
    <row r="68" spans="1:7" ht="21.95" customHeight="1" x14ac:dyDescent="0.25">
      <c r="A68" s="1"/>
      <c r="B68" s="40"/>
      <c r="C68" s="37"/>
      <c r="D68" s="38"/>
      <c r="E68" s="39"/>
      <c r="F68" s="22" t="str">
        <f t="shared" ref="F68:F99" si="2">IF(D68="","",IF(F67="",0,F67)+IF(E68="Deposit",D68,-D68))</f>
        <v/>
      </c>
      <c r="G68" s="37"/>
    </row>
    <row r="69" spans="1:7" ht="21.95" customHeight="1" x14ac:dyDescent="0.25">
      <c r="A69" s="1"/>
      <c r="B69" s="36"/>
      <c r="C69" s="33"/>
      <c r="D69" s="34"/>
      <c r="E69" s="35"/>
      <c r="F69" s="16" t="str">
        <f t="shared" si="2"/>
        <v/>
      </c>
      <c r="G69" s="33"/>
    </row>
    <row r="70" spans="1:7" ht="21.95" customHeight="1" x14ac:dyDescent="0.25">
      <c r="A70" s="1"/>
      <c r="B70" s="40"/>
      <c r="C70" s="37"/>
      <c r="D70" s="38"/>
      <c r="E70" s="39"/>
      <c r="F70" s="22" t="str">
        <f t="shared" si="2"/>
        <v/>
      </c>
      <c r="G70" s="37"/>
    </row>
    <row r="71" spans="1:7" ht="21.95" customHeight="1" x14ac:dyDescent="0.25">
      <c r="A71" s="1"/>
      <c r="B71" s="36"/>
      <c r="C71" s="33"/>
      <c r="D71" s="34"/>
      <c r="E71" s="35"/>
      <c r="F71" s="16" t="str">
        <f t="shared" si="2"/>
        <v/>
      </c>
      <c r="G71" s="33"/>
    </row>
    <row r="72" spans="1:7" ht="21.95" customHeight="1" x14ac:dyDescent="0.25">
      <c r="A72" s="1"/>
      <c r="B72" s="40"/>
      <c r="C72" s="37"/>
      <c r="D72" s="38"/>
      <c r="E72" s="39"/>
      <c r="F72" s="22" t="str">
        <f t="shared" si="2"/>
        <v/>
      </c>
      <c r="G72" s="37"/>
    </row>
    <row r="73" spans="1:7" ht="21.95" customHeight="1" x14ac:dyDescent="0.25">
      <c r="A73" s="1"/>
      <c r="B73" s="36"/>
      <c r="C73" s="33"/>
      <c r="D73" s="34"/>
      <c r="E73" s="35"/>
      <c r="F73" s="16" t="str">
        <f t="shared" si="2"/>
        <v/>
      </c>
      <c r="G73" s="33"/>
    </row>
    <row r="74" spans="1:7" ht="21.95" customHeight="1" x14ac:dyDescent="0.25">
      <c r="A74" s="1"/>
      <c r="B74" s="40"/>
      <c r="C74" s="37"/>
      <c r="D74" s="38"/>
      <c r="E74" s="39"/>
      <c r="F74" s="22" t="str">
        <f t="shared" si="2"/>
        <v/>
      </c>
      <c r="G74" s="37"/>
    </row>
    <row r="75" spans="1:7" ht="21.95" customHeight="1" x14ac:dyDescent="0.25">
      <c r="A75" s="1"/>
      <c r="B75" s="36"/>
      <c r="C75" s="33"/>
      <c r="D75" s="34"/>
      <c r="E75" s="35"/>
      <c r="F75" s="16" t="str">
        <f t="shared" si="2"/>
        <v/>
      </c>
      <c r="G75" s="33"/>
    </row>
    <row r="76" spans="1:7" ht="21.95" customHeight="1" x14ac:dyDescent="0.25">
      <c r="A76" s="1"/>
      <c r="B76" s="40"/>
      <c r="C76" s="37"/>
      <c r="D76" s="38"/>
      <c r="E76" s="39"/>
      <c r="F76" s="22" t="str">
        <f t="shared" si="2"/>
        <v/>
      </c>
      <c r="G76" s="37"/>
    </row>
    <row r="77" spans="1:7" ht="21.95" customHeight="1" x14ac:dyDescent="0.25">
      <c r="A77" s="1"/>
      <c r="B77" s="36"/>
      <c r="C77" s="33"/>
      <c r="D77" s="34"/>
      <c r="E77" s="35"/>
      <c r="F77" s="16" t="str">
        <f t="shared" si="2"/>
        <v/>
      </c>
      <c r="G77" s="33"/>
    </row>
    <row r="78" spans="1:7" ht="21.95" customHeight="1" x14ac:dyDescent="0.25">
      <c r="A78" s="1"/>
      <c r="B78" s="40"/>
      <c r="C78" s="37"/>
      <c r="D78" s="38"/>
      <c r="E78" s="39"/>
      <c r="F78" s="22" t="str">
        <f t="shared" si="2"/>
        <v/>
      </c>
      <c r="G78" s="37"/>
    </row>
    <row r="79" spans="1:7" ht="21.95" customHeight="1" x14ac:dyDescent="0.25">
      <c r="A79" s="1"/>
      <c r="B79" s="36"/>
      <c r="C79" s="33"/>
      <c r="D79" s="34"/>
      <c r="E79" s="35"/>
      <c r="F79" s="16" t="str">
        <f t="shared" si="2"/>
        <v/>
      </c>
      <c r="G79" s="33"/>
    </row>
    <row r="80" spans="1:7" ht="21.95" customHeight="1" x14ac:dyDescent="0.25">
      <c r="A80" s="1"/>
      <c r="B80" s="40"/>
      <c r="C80" s="37"/>
      <c r="D80" s="38"/>
      <c r="E80" s="39"/>
      <c r="F80" s="22" t="str">
        <f t="shared" si="2"/>
        <v/>
      </c>
      <c r="G80" s="37"/>
    </row>
    <row r="81" spans="1:7" ht="21.95" customHeight="1" x14ac:dyDescent="0.25">
      <c r="A81" s="1"/>
      <c r="B81" s="36"/>
      <c r="C81" s="33"/>
      <c r="D81" s="34"/>
      <c r="E81" s="35"/>
      <c r="F81" s="16" t="str">
        <f t="shared" si="2"/>
        <v/>
      </c>
      <c r="G81" s="33"/>
    </row>
    <row r="82" spans="1:7" ht="21.95" customHeight="1" x14ac:dyDescent="0.25">
      <c r="A82" s="1"/>
      <c r="B82" s="40"/>
      <c r="C82" s="37"/>
      <c r="D82" s="38"/>
      <c r="E82" s="39"/>
      <c r="F82" s="22" t="str">
        <f t="shared" si="2"/>
        <v/>
      </c>
      <c r="G82" s="37"/>
    </row>
    <row r="83" spans="1:7" ht="21.95" customHeight="1" x14ac:dyDescent="0.25">
      <c r="A83" s="1"/>
      <c r="B83" s="36"/>
      <c r="C83" s="33"/>
      <c r="D83" s="34"/>
      <c r="E83" s="35"/>
      <c r="F83" s="16" t="str">
        <f t="shared" si="2"/>
        <v/>
      </c>
      <c r="G83" s="33"/>
    </row>
    <row r="84" spans="1:7" ht="21.95" customHeight="1" x14ac:dyDescent="0.25">
      <c r="A84" s="1"/>
      <c r="B84" s="40"/>
      <c r="C84" s="37"/>
      <c r="D84" s="38"/>
      <c r="E84" s="39"/>
      <c r="F84" s="22" t="str">
        <f t="shared" si="2"/>
        <v/>
      </c>
      <c r="G84" s="37"/>
    </row>
    <row r="85" spans="1:7" ht="21.95" customHeight="1" x14ac:dyDescent="0.25">
      <c r="A85" s="1"/>
      <c r="B85" s="36"/>
      <c r="C85" s="33"/>
      <c r="D85" s="34"/>
      <c r="E85" s="35"/>
      <c r="F85" s="16" t="str">
        <f t="shared" si="2"/>
        <v/>
      </c>
      <c r="G85" s="33"/>
    </row>
    <row r="86" spans="1:7" ht="21.95" customHeight="1" x14ac:dyDescent="0.25">
      <c r="A86" s="1"/>
      <c r="B86" s="40"/>
      <c r="C86" s="37"/>
      <c r="D86" s="38"/>
      <c r="E86" s="39"/>
      <c r="F86" s="22" t="str">
        <f t="shared" si="2"/>
        <v/>
      </c>
      <c r="G86" s="37"/>
    </row>
    <row r="87" spans="1:7" ht="21.95" customHeight="1" x14ac:dyDescent="0.25">
      <c r="A87" s="1"/>
      <c r="B87" s="36"/>
      <c r="C87" s="33"/>
      <c r="D87" s="34"/>
      <c r="E87" s="35"/>
      <c r="F87" s="16" t="str">
        <f t="shared" si="2"/>
        <v/>
      </c>
      <c r="G87" s="33"/>
    </row>
    <row r="88" spans="1:7" ht="21.95" customHeight="1" x14ac:dyDescent="0.25">
      <c r="A88" s="1"/>
      <c r="B88" s="40"/>
      <c r="C88" s="37"/>
      <c r="D88" s="38"/>
      <c r="E88" s="39"/>
      <c r="F88" s="22" t="str">
        <f t="shared" si="2"/>
        <v/>
      </c>
      <c r="G88" s="37"/>
    </row>
    <row r="89" spans="1:7" ht="21.95" customHeight="1" x14ac:dyDescent="0.25">
      <c r="A89" s="1"/>
      <c r="B89" s="36"/>
      <c r="C89" s="33"/>
      <c r="D89" s="34"/>
      <c r="E89" s="35"/>
      <c r="F89" s="16" t="str">
        <f t="shared" si="2"/>
        <v/>
      </c>
      <c r="G89" s="33"/>
    </row>
    <row r="90" spans="1:7" ht="21.95" customHeight="1" x14ac:dyDescent="0.25">
      <c r="A90" s="1"/>
      <c r="B90" s="40"/>
      <c r="C90" s="37"/>
      <c r="D90" s="38"/>
      <c r="E90" s="39"/>
      <c r="F90" s="22" t="str">
        <f t="shared" si="2"/>
        <v/>
      </c>
      <c r="G90" s="37"/>
    </row>
    <row r="91" spans="1:7" ht="21.95" customHeight="1" x14ac:dyDescent="0.25">
      <c r="A91" s="1"/>
      <c r="B91" s="36"/>
      <c r="C91" s="33"/>
      <c r="D91" s="34"/>
      <c r="E91" s="35"/>
      <c r="F91" s="16" t="str">
        <f t="shared" si="2"/>
        <v/>
      </c>
      <c r="G91" s="33"/>
    </row>
    <row r="92" spans="1:7" ht="21.95" customHeight="1" x14ac:dyDescent="0.25">
      <c r="A92" s="1"/>
      <c r="B92" s="40"/>
      <c r="C92" s="37"/>
      <c r="D92" s="38"/>
      <c r="E92" s="39"/>
      <c r="F92" s="22" t="str">
        <f t="shared" si="2"/>
        <v/>
      </c>
      <c r="G92" s="37"/>
    </row>
    <row r="93" spans="1:7" ht="21.95" customHeight="1" x14ac:dyDescent="0.25">
      <c r="A93" s="1"/>
      <c r="B93" s="36"/>
      <c r="C93" s="33"/>
      <c r="D93" s="34"/>
      <c r="E93" s="35"/>
      <c r="F93" s="16" t="str">
        <f t="shared" si="2"/>
        <v/>
      </c>
      <c r="G93" s="33"/>
    </row>
    <row r="94" spans="1:7" ht="21.95" customHeight="1" x14ac:dyDescent="0.25">
      <c r="A94" s="1"/>
      <c r="B94" s="40"/>
      <c r="C94" s="37"/>
      <c r="D94" s="38"/>
      <c r="E94" s="39"/>
      <c r="F94" s="22" t="str">
        <f t="shared" si="2"/>
        <v/>
      </c>
      <c r="G94" s="37"/>
    </row>
    <row r="95" spans="1:7" ht="21.95" customHeight="1" x14ac:dyDescent="0.25">
      <c r="A95" s="1"/>
      <c r="B95" s="36"/>
      <c r="C95" s="33"/>
      <c r="D95" s="34"/>
      <c r="E95" s="35"/>
      <c r="F95" s="16" t="str">
        <f t="shared" si="2"/>
        <v/>
      </c>
      <c r="G95" s="33"/>
    </row>
    <row r="96" spans="1:7" ht="21.95" customHeight="1" x14ac:dyDescent="0.25">
      <c r="A96" s="1"/>
      <c r="B96" s="40"/>
      <c r="C96" s="37"/>
      <c r="D96" s="38"/>
      <c r="E96" s="39"/>
      <c r="F96" s="22" t="str">
        <f t="shared" si="2"/>
        <v/>
      </c>
      <c r="G96" s="37"/>
    </row>
    <row r="97" spans="1:7" ht="21.95" customHeight="1" x14ac:dyDescent="0.25">
      <c r="A97" s="1"/>
      <c r="B97" s="36"/>
      <c r="C97" s="33"/>
      <c r="D97" s="34"/>
      <c r="E97" s="35"/>
      <c r="F97" s="16" t="str">
        <f t="shared" si="2"/>
        <v/>
      </c>
      <c r="G97" s="33"/>
    </row>
    <row r="98" spans="1:7" ht="21.95" customHeight="1" x14ac:dyDescent="0.25">
      <c r="A98" s="1"/>
      <c r="B98" s="40"/>
      <c r="C98" s="37"/>
      <c r="D98" s="38"/>
      <c r="E98" s="39"/>
      <c r="F98" s="22" t="str">
        <f t="shared" si="2"/>
        <v/>
      </c>
      <c r="G98" s="37"/>
    </row>
    <row r="99" spans="1:7" ht="21.95" customHeight="1" x14ac:dyDescent="0.25">
      <c r="A99" s="1"/>
      <c r="B99" s="36"/>
      <c r="C99" s="33"/>
      <c r="D99" s="34"/>
      <c r="E99" s="35"/>
      <c r="F99" s="16" t="str">
        <f t="shared" si="2"/>
        <v/>
      </c>
      <c r="G99" s="33"/>
    </row>
    <row r="100" spans="1:7" ht="21.95" customHeight="1" x14ac:dyDescent="0.25">
      <c r="A100" s="1"/>
      <c r="B100" s="40"/>
      <c r="C100" s="37"/>
      <c r="D100" s="38"/>
      <c r="E100" s="39"/>
      <c r="F100" s="22" t="str">
        <f t="shared" ref="F100:F131" si="3">IF(D100="","",IF(F99="",0,F99)+IF(E100="Deposit",D100,-D100))</f>
        <v/>
      </c>
      <c r="G100" s="37"/>
    </row>
    <row r="101" spans="1:7" ht="21.95" customHeight="1" x14ac:dyDescent="0.25">
      <c r="A101" s="1"/>
      <c r="B101" s="36"/>
      <c r="C101" s="33"/>
      <c r="D101" s="34"/>
      <c r="E101" s="35"/>
      <c r="F101" s="16" t="str">
        <f t="shared" si="3"/>
        <v/>
      </c>
      <c r="G101" s="33"/>
    </row>
    <row r="102" spans="1:7" ht="21.95" customHeight="1" x14ac:dyDescent="0.25">
      <c r="A102" s="1"/>
      <c r="B102" s="40"/>
      <c r="C102" s="37"/>
      <c r="D102" s="38"/>
      <c r="E102" s="39"/>
      <c r="F102" s="22" t="str">
        <f t="shared" si="3"/>
        <v/>
      </c>
      <c r="G102" s="37"/>
    </row>
    <row r="103" spans="1:7" ht="21.95" customHeight="1" x14ac:dyDescent="0.25">
      <c r="A103" s="1"/>
      <c r="B103" s="36"/>
      <c r="C103" s="33"/>
      <c r="D103" s="34"/>
      <c r="E103" s="35"/>
      <c r="F103" s="16" t="str">
        <f t="shared" si="3"/>
        <v/>
      </c>
      <c r="G103" s="33"/>
    </row>
    <row r="104" spans="1:7" ht="21.95" customHeight="1" x14ac:dyDescent="0.25">
      <c r="A104" s="1"/>
      <c r="B104" s="40"/>
      <c r="C104" s="37"/>
      <c r="D104" s="38"/>
      <c r="E104" s="39"/>
      <c r="F104" s="22" t="str">
        <f t="shared" si="3"/>
        <v/>
      </c>
      <c r="G104" s="37"/>
    </row>
    <row r="105" spans="1:7" ht="21.95" customHeight="1" x14ac:dyDescent="0.25">
      <c r="A105" s="1"/>
      <c r="B105" s="36"/>
      <c r="C105" s="33"/>
      <c r="D105" s="34"/>
      <c r="E105" s="35"/>
      <c r="F105" s="16" t="str">
        <f t="shared" si="3"/>
        <v/>
      </c>
      <c r="G105" s="33"/>
    </row>
    <row r="106" spans="1:7" ht="21.95" customHeight="1" x14ac:dyDescent="0.25">
      <c r="A106" s="1"/>
      <c r="B106" s="40"/>
      <c r="C106" s="37"/>
      <c r="D106" s="38"/>
      <c r="E106" s="39"/>
      <c r="F106" s="22" t="str">
        <f t="shared" si="3"/>
        <v/>
      </c>
      <c r="G106" s="37"/>
    </row>
    <row r="107" spans="1:7" ht="21.95" customHeight="1" x14ac:dyDescent="0.25">
      <c r="A107" s="1"/>
      <c r="B107" s="36"/>
      <c r="C107" s="33"/>
      <c r="D107" s="34"/>
      <c r="E107" s="35"/>
      <c r="F107" s="16" t="str">
        <f t="shared" si="3"/>
        <v/>
      </c>
      <c r="G107" s="33"/>
    </row>
    <row r="108" spans="1:7" ht="21.95" customHeight="1" x14ac:dyDescent="0.25">
      <c r="A108" s="1"/>
      <c r="B108" s="40"/>
      <c r="C108" s="37"/>
      <c r="D108" s="38"/>
      <c r="E108" s="39"/>
      <c r="F108" s="22" t="str">
        <f t="shared" si="3"/>
        <v/>
      </c>
      <c r="G108" s="37"/>
    </row>
    <row r="109" spans="1:7" ht="21.95" customHeight="1" x14ac:dyDescent="0.25">
      <c r="A109" s="1"/>
      <c r="B109" s="36"/>
      <c r="C109" s="33"/>
      <c r="D109" s="34"/>
      <c r="E109" s="35"/>
      <c r="F109" s="16" t="str">
        <f t="shared" si="3"/>
        <v/>
      </c>
      <c r="G109" s="33"/>
    </row>
    <row r="110" spans="1:7" ht="21.95" customHeight="1" x14ac:dyDescent="0.25">
      <c r="A110" s="1"/>
      <c r="B110" s="40"/>
      <c r="C110" s="37"/>
      <c r="D110" s="38"/>
      <c r="E110" s="39"/>
      <c r="F110" s="22" t="str">
        <f t="shared" si="3"/>
        <v/>
      </c>
      <c r="G110" s="37"/>
    </row>
    <row r="111" spans="1:7" ht="21.95" customHeight="1" x14ac:dyDescent="0.25">
      <c r="A111" s="1"/>
      <c r="B111" s="36"/>
      <c r="C111" s="33"/>
      <c r="D111" s="34"/>
      <c r="E111" s="35"/>
      <c r="F111" s="16" t="str">
        <f t="shared" si="3"/>
        <v/>
      </c>
      <c r="G111" s="33"/>
    </row>
    <row r="112" spans="1:7" ht="21.95" customHeight="1" x14ac:dyDescent="0.25">
      <c r="A112" s="1"/>
      <c r="B112" s="40"/>
      <c r="C112" s="37"/>
      <c r="D112" s="38"/>
      <c r="E112" s="39"/>
      <c r="F112" s="22" t="str">
        <f t="shared" si="3"/>
        <v/>
      </c>
      <c r="G112" s="37"/>
    </row>
    <row r="113" spans="1:7" ht="21.95" customHeight="1" x14ac:dyDescent="0.25">
      <c r="A113" s="1"/>
      <c r="B113" s="36"/>
      <c r="C113" s="33"/>
      <c r="D113" s="34"/>
      <c r="E113" s="35"/>
      <c r="F113" s="16" t="str">
        <f t="shared" si="3"/>
        <v/>
      </c>
      <c r="G113" s="33"/>
    </row>
    <row r="114" spans="1:7" ht="21.95" customHeight="1" x14ac:dyDescent="0.25">
      <c r="A114" s="1"/>
      <c r="B114" s="40"/>
      <c r="C114" s="37"/>
      <c r="D114" s="38"/>
      <c r="E114" s="39"/>
      <c r="F114" s="22" t="str">
        <f t="shared" si="3"/>
        <v/>
      </c>
      <c r="G114" s="37"/>
    </row>
    <row r="115" spans="1:7" ht="21.95" customHeight="1" x14ac:dyDescent="0.25">
      <c r="A115" s="1"/>
      <c r="B115" s="36"/>
      <c r="C115" s="33"/>
      <c r="D115" s="34"/>
      <c r="E115" s="35"/>
      <c r="F115" s="16" t="str">
        <f t="shared" si="3"/>
        <v/>
      </c>
      <c r="G115" s="33"/>
    </row>
    <row r="116" spans="1:7" ht="21.95" customHeight="1" x14ac:dyDescent="0.25">
      <c r="A116" s="1"/>
      <c r="B116" s="40"/>
      <c r="C116" s="37"/>
      <c r="D116" s="38"/>
      <c r="E116" s="39"/>
      <c r="F116" s="22" t="str">
        <f t="shared" si="3"/>
        <v/>
      </c>
      <c r="G116" s="37"/>
    </row>
    <row r="117" spans="1:7" ht="21.95" customHeight="1" x14ac:dyDescent="0.25">
      <c r="A117" s="1"/>
      <c r="B117" s="36"/>
      <c r="C117" s="33"/>
      <c r="D117" s="34"/>
      <c r="E117" s="35"/>
      <c r="F117" s="16" t="str">
        <f t="shared" si="3"/>
        <v/>
      </c>
      <c r="G117" s="33"/>
    </row>
    <row r="118" spans="1:7" ht="21.95" customHeight="1" x14ac:dyDescent="0.25">
      <c r="A118" s="1"/>
      <c r="B118" s="40"/>
      <c r="C118" s="37"/>
      <c r="D118" s="38"/>
      <c r="E118" s="39"/>
      <c r="F118" s="22" t="str">
        <f t="shared" si="3"/>
        <v/>
      </c>
      <c r="G118" s="37"/>
    </row>
    <row r="119" spans="1:7" ht="21.95" customHeight="1" x14ac:dyDescent="0.25">
      <c r="A119" s="1"/>
      <c r="B119" s="36"/>
      <c r="C119" s="33"/>
      <c r="D119" s="34"/>
      <c r="E119" s="35"/>
      <c r="F119" s="16" t="str">
        <f t="shared" si="3"/>
        <v/>
      </c>
      <c r="G119" s="33"/>
    </row>
    <row r="120" spans="1:7" ht="21.95" customHeight="1" x14ac:dyDescent="0.25">
      <c r="A120" s="1"/>
      <c r="B120" s="40"/>
      <c r="C120" s="37"/>
      <c r="D120" s="38"/>
      <c r="E120" s="39"/>
      <c r="F120" s="22" t="str">
        <f t="shared" si="3"/>
        <v/>
      </c>
      <c r="G120" s="37"/>
    </row>
    <row r="121" spans="1:7" ht="21.95" customHeight="1" x14ac:dyDescent="0.25">
      <c r="A121" s="1"/>
      <c r="B121" s="36"/>
      <c r="C121" s="33"/>
      <c r="D121" s="34"/>
      <c r="E121" s="35"/>
      <c r="F121" s="16" t="str">
        <f t="shared" si="3"/>
        <v/>
      </c>
      <c r="G121" s="33"/>
    </row>
    <row r="122" spans="1:7" ht="21.95" customHeight="1" x14ac:dyDescent="0.25">
      <c r="A122" s="1"/>
      <c r="B122" s="40"/>
      <c r="C122" s="37"/>
      <c r="D122" s="38"/>
      <c r="E122" s="39"/>
      <c r="F122" s="22" t="str">
        <f t="shared" si="3"/>
        <v/>
      </c>
      <c r="G122" s="37"/>
    </row>
    <row r="123" spans="1:7" ht="21.95" customHeight="1" x14ac:dyDescent="0.25">
      <c r="A123" s="1"/>
      <c r="B123" s="36"/>
      <c r="C123" s="33"/>
      <c r="D123" s="34"/>
      <c r="E123" s="35"/>
      <c r="F123" s="16" t="str">
        <f t="shared" si="3"/>
        <v/>
      </c>
      <c r="G123" s="33"/>
    </row>
    <row r="124" spans="1:7" ht="21.95" customHeight="1" x14ac:dyDescent="0.25">
      <c r="A124" s="1"/>
      <c r="B124" s="40"/>
      <c r="C124" s="37"/>
      <c r="D124" s="38"/>
      <c r="E124" s="39"/>
      <c r="F124" s="22" t="str">
        <f t="shared" si="3"/>
        <v/>
      </c>
      <c r="G124" s="37"/>
    </row>
    <row r="125" spans="1:7" ht="21.95" customHeight="1" x14ac:dyDescent="0.25">
      <c r="A125" s="1"/>
      <c r="B125" s="36"/>
      <c r="C125" s="33"/>
      <c r="D125" s="34"/>
      <c r="E125" s="35"/>
      <c r="F125" s="16" t="str">
        <f t="shared" si="3"/>
        <v/>
      </c>
      <c r="G125" s="33"/>
    </row>
    <row r="126" spans="1:7" ht="21.95" customHeight="1" x14ac:dyDescent="0.25">
      <c r="A126" s="1"/>
      <c r="B126" s="40"/>
      <c r="C126" s="37"/>
      <c r="D126" s="38"/>
      <c r="E126" s="39"/>
      <c r="F126" s="22" t="str">
        <f t="shared" si="3"/>
        <v/>
      </c>
      <c r="G126" s="37"/>
    </row>
    <row r="127" spans="1:7" ht="21.95" customHeight="1" x14ac:dyDescent="0.25">
      <c r="A127" s="1"/>
      <c r="B127" s="36"/>
      <c r="C127" s="33"/>
      <c r="D127" s="34"/>
      <c r="E127" s="35"/>
      <c r="F127" s="16" t="str">
        <f t="shared" si="3"/>
        <v/>
      </c>
      <c r="G127" s="33"/>
    </row>
    <row r="128" spans="1:7" ht="21.95" customHeight="1" x14ac:dyDescent="0.25">
      <c r="A128" s="1"/>
      <c r="B128" s="40"/>
      <c r="C128" s="37"/>
      <c r="D128" s="38"/>
      <c r="E128" s="39"/>
      <c r="F128" s="22" t="str">
        <f t="shared" si="3"/>
        <v/>
      </c>
      <c r="G128" s="37"/>
    </row>
    <row r="129" spans="1:7" ht="21.95" customHeight="1" x14ac:dyDescent="0.25">
      <c r="A129" s="1"/>
      <c r="B129" s="36"/>
      <c r="C129" s="33"/>
      <c r="D129" s="34"/>
      <c r="E129" s="35"/>
      <c r="F129" s="16" t="str">
        <f t="shared" si="3"/>
        <v/>
      </c>
      <c r="G129" s="33"/>
    </row>
    <row r="130" spans="1:7" ht="21.95" customHeight="1" x14ac:dyDescent="0.25">
      <c r="A130" s="1"/>
      <c r="B130" s="40"/>
      <c r="C130" s="37"/>
      <c r="D130" s="38"/>
      <c r="E130" s="39"/>
      <c r="F130" s="22" t="str">
        <f t="shared" si="3"/>
        <v/>
      </c>
      <c r="G130" s="37"/>
    </row>
    <row r="131" spans="1:7" ht="21.95" customHeight="1" x14ac:dyDescent="0.25">
      <c r="A131" s="1"/>
      <c r="B131" s="36"/>
      <c r="C131" s="33"/>
      <c r="D131" s="34"/>
      <c r="E131" s="35"/>
      <c r="F131" s="16" t="str">
        <f t="shared" si="3"/>
        <v/>
      </c>
      <c r="G131" s="33"/>
    </row>
    <row r="132" spans="1:7" ht="21.95" customHeight="1" x14ac:dyDescent="0.25">
      <c r="A132" s="1"/>
      <c r="B132" s="40"/>
      <c r="C132" s="37"/>
      <c r="D132" s="38"/>
      <c r="E132" s="39"/>
      <c r="F132" s="22" t="str">
        <f t="shared" ref="F132:F163" si="4">IF(D132="","",IF(F131="",0,F131)+IF(E132="Deposit",D132,-D132))</f>
        <v/>
      </c>
      <c r="G132" s="37"/>
    </row>
    <row r="133" spans="1:7" ht="21.95" customHeight="1" x14ac:dyDescent="0.25">
      <c r="A133" s="1"/>
      <c r="B133" s="36"/>
      <c r="C133" s="33"/>
      <c r="D133" s="34"/>
      <c r="E133" s="35"/>
      <c r="F133" s="16" t="str">
        <f t="shared" si="4"/>
        <v/>
      </c>
      <c r="G133" s="33"/>
    </row>
    <row r="134" spans="1:7" ht="21.95" customHeight="1" x14ac:dyDescent="0.25">
      <c r="A134" s="1"/>
      <c r="B134" s="40"/>
      <c r="C134" s="37"/>
      <c r="D134" s="38"/>
      <c r="E134" s="39"/>
      <c r="F134" s="22" t="str">
        <f t="shared" si="4"/>
        <v/>
      </c>
      <c r="G134" s="37"/>
    </row>
    <row r="135" spans="1:7" ht="21.95" customHeight="1" x14ac:dyDescent="0.25">
      <c r="A135" s="1"/>
      <c r="B135" s="36"/>
      <c r="C135" s="33"/>
      <c r="D135" s="34"/>
      <c r="E135" s="35"/>
      <c r="F135" s="16" t="str">
        <f t="shared" si="4"/>
        <v/>
      </c>
      <c r="G135" s="33"/>
    </row>
    <row r="136" spans="1:7" ht="21.95" customHeight="1" x14ac:dyDescent="0.25">
      <c r="A136" s="1"/>
      <c r="B136" s="40"/>
      <c r="C136" s="37"/>
      <c r="D136" s="38"/>
      <c r="E136" s="39"/>
      <c r="F136" s="22" t="str">
        <f t="shared" si="4"/>
        <v/>
      </c>
      <c r="G136" s="37"/>
    </row>
    <row r="137" spans="1:7" ht="21.95" customHeight="1" x14ac:dyDescent="0.25">
      <c r="A137" s="1"/>
      <c r="B137" s="36"/>
      <c r="C137" s="33"/>
      <c r="D137" s="34"/>
      <c r="E137" s="35"/>
      <c r="F137" s="16" t="str">
        <f t="shared" si="4"/>
        <v/>
      </c>
      <c r="G137" s="33"/>
    </row>
    <row r="138" spans="1:7" ht="21.95" customHeight="1" x14ac:dyDescent="0.25">
      <c r="A138" s="1"/>
      <c r="B138" s="40"/>
      <c r="C138" s="37"/>
      <c r="D138" s="38"/>
      <c r="E138" s="39"/>
      <c r="F138" s="22" t="str">
        <f t="shared" si="4"/>
        <v/>
      </c>
      <c r="G138" s="37"/>
    </row>
    <row r="139" spans="1:7" ht="21.95" customHeight="1" x14ac:dyDescent="0.25">
      <c r="A139" s="1"/>
      <c r="B139" s="36"/>
      <c r="C139" s="33"/>
      <c r="D139" s="34"/>
      <c r="E139" s="35"/>
      <c r="F139" s="16" t="str">
        <f t="shared" si="4"/>
        <v/>
      </c>
      <c r="G139" s="33"/>
    </row>
    <row r="140" spans="1:7" ht="21.95" customHeight="1" x14ac:dyDescent="0.25">
      <c r="A140" s="1"/>
      <c r="B140" s="40"/>
      <c r="C140" s="37"/>
      <c r="D140" s="38"/>
      <c r="E140" s="39"/>
      <c r="F140" s="22" t="str">
        <f t="shared" si="4"/>
        <v/>
      </c>
      <c r="G140" s="37"/>
    </row>
    <row r="141" spans="1:7" ht="21.95" customHeight="1" x14ac:dyDescent="0.25">
      <c r="A141" s="1"/>
      <c r="B141" s="36"/>
      <c r="C141" s="33"/>
      <c r="D141" s="34"/>
      <c r="E141" s="35"/>
      <c r="F141" s="16" t="str">
        <f t="shared" si="4"/>
        <v/>
      </c>
      <c r="G141" s="33"/>
    </row>
    <row r="142" spans="1:7" ht="21.95" customHeight="1" x14ac:dyDescent="0.25">
      <c r="A142" s="1"/>
      <c r="B142" s="40"/>
      <c r="C142" s="37"/>
      <c r="D142" s="38"/>
      <c r="E142" s="39"/>
      <c r="F142" s="22" t="str">
        <f t="shared" si="4"/>
        <v/>
      </c>
      <c r="G142" s="37"/>
    </row>
    <row r="143" spans="1:7" ht="21.95" customHeight="1" x14ac:dyDescent="0.25">
      <c r="A143" s="1"/>
      <c r="B143" s="36"/>
      <c r="C143" s="33"/>
      <c r="D143" s="34"/>
      <c r="E143" s="35"/>
      <c r="F143" s="16" t="str">
        <f t="shared" si="4"/>
        <v/>
      </c>
      <c r="G143" s="33"/>
    </row>
    <row r="144" spans="1:7" ht="21.95" customHeight="1" x14ac:dyDescent="0.25">
      <c r="A144" s="1"/>
      <c r="B144" s="40"/>
      <c r="C144" s="37"/>
      <c r="D144" s="38"/>
      <c r="E144" s="39"/>
      <c r="F144" s="22" t="str">
        <f t="shared" si="4"/>
        <v/>
      </c>
      <c r="G144" s="37"/>
    </row>
    <row r="145" spans="1:7" ht="21.95" customHeight="1" x14ac:dyDescent="0.25">
      <c r="A145" s="1"/>
      <c r="B145" s="36"/>
      <c r="C145" s="33"/>
      <c r="D145" s="34"/>
      <c r="E145" s="35"/>
      <c r="F145" s="16" t="str">
        <f t="shared" si="4"/>
        <v/>
      </c>
      <c r="G145" s="33"/>
    </row>
    <row r="146" spans="1:7" ht="21.95" customHeight="1" x14ac:dyDescent="0.25">
      <c r="A146" s="1"/>
      <c r="B146" s="40"/>
      <c r="C146" s="37"/>
      <c r="D146" s="38"/>
      <c r="E146" s="39"/>
      <c r="F146" s="22" t="str">
        <f t="shared" si="4"/>
        <v/>
      </c>
      <c r="G146" s="37"/>
    </row>
    <row r="147" spans="1:7" ht="21.95" customHeight="1" x14ac:dyDescent="0.25">
      <c r="A147" s="1"/>
      <c r="B147" s="36"/>
      <c r="C147" s="33"/>
      <c r="D147" s="34"/>
      <c r="E147" s="35"/>
      <c r="F147" s="16" t="str">
        <f t="shared" si="4"/>
        <v/>
      </c>
      <c r="G147" s="33"/>
    </row>
    <row r="148" spans="1:7" ht="21.95" customHeight="1" x14ac:dyDescent="0.25">
      <c r="A148" s="1"/>
      <c r="B148" s="40"/>
      <c r="C148" s="37"/>
      <c r="D148" s="38"/>
      <c r="E148" s="39"/>
      <c r="F148" s="22" t="str">
        <f t="shared" si="4"/>
        <v/>
      </c>
      <c r="G148" s="37"/>
    </row>
    <row r="149" spans="1:7" ht="21.95" customHeight="1" x14ac:dyDescent="0.25">
      <c r="A149" s="1"/>
      <c r="B149" s="36"/>
      <c r="C149" s="33"/>
      <c r="D149" s="34"/>
      <c r="E149" s="35"/>
      <c r="F149" s="16" t="str">
        <f t="shared" si="4"/>
        <v/>
      </c>
      <c r="G149" s="33"/>
    </row>
    <row r="150" spans="1:7" ht="21.95" customHeight="1" x14ac:dyDescent="0.25">
      <c r="A150" s="1"/>
      <c r="B150" s="40"/>
      <c r="C150" s="37"/>
      <c r="D150" s="38"/>
      <c r="E150" s="39"/>
      <c r="F150" s="22" t="str">
        <f t="shared" si="4"/>
        <v/>
      </c>
      <c r="G150" s="37"/>
    </row>
    <row r="151" spans="1:7" ht="21.95" customHeight="1" x14ac:dyDescent="0.25">
      <c r="A151" s="1"/>
      <c r="B151" s="36"/>
      <c r="C151" s="33"/>
      <c r="D151" s="34"/>
      <c r="E151" s="35"/>
      <c r="F151" s="16" t="str">
        <f t="shared" si="4"/>
        <v/>
      </c>
      <c r="G151" s="33"/>
    </row>
    <row r="152" spans="1:7" ht="21.95" customHeight="1" x14ac:dyDescent="0.25">
      <c r="A152" s="1"/>
      <c r="B152" s="40"/>
      <c r="C152" s="37"/>
      <c r="D152" s="38"/>
      <c r="E152" s="39"/>
      <c r="F152" s="22" t="str">
        <f t="shared" si="4"/>
        <v/>
      </c>
      <c r="G152" s="37"/>
    </row>
  </sheetData>
  <sheetProtection sheet="1" objects="1" scenarios="1"/>
  <mergeCells count="1">
    <mergeCell ref="B1:G1"/>
  </mergeCells>
  <dataValidations count="1">
    <dataValidation type="list" allowBlank="1" errorTitle="Invalid Type" error="Select Deposit or Withdrawal" promptTitle="Type" prompt="Transaction type"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xr:uid="{00000000-0002-0000-0300-000000000000}">
      <formula1>"Deposit,Withdrawal"</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7AE60"/>
  </sheetPr>
  <dimension ref="A1:B40"/>
  <sheetViews>
    <sheetView tabSelected="1" workbookViewId="0">
      <pane ySplit="1" topLeftCell="A15" activePane="bottomLeft" state="frozen"/>
      <selection pane="bottomLeft" activeCell="F10" sqref="F10"/>
    </sheetView>
  </sheetViews>
  <sheetFormatPr baseColWidth="10" defaultColWidth="9.140625" defaultRowHeight="15" x14ac:dyDescent="0.25"/>
  <cols>
    <col min="1" max="1" width="1.5703125" customWidth="1"/>
    <col min="2" max="2" width="129.5703125" customWidth="1"/>
    <col min="3" max="3" width="4" customWidth="1"/>
  </cols>
  <sheetData>
    <row r="1" spans="1:2" ht="42" customHeight="1" x14ac:dyDescent="0.25">
      <c r="A1" s="43"/>
      <c r="B1" s="44" t="s">
        <v>63</v>
      </c>
    </row>
    <row r="2" spans="1:2" ht="3.95" customHeight="1" x14ac:dyDescent="0.25">
      <c r="A2" s="45"/>
      <c r="B2" s="45"/>
    </row>
    <row r="3" spans="1:2" ht="32.1" customHeight="1" x14ac:dyDescent="0.3">
      <c r="A3" s="41"/>
      <c r="B3" s="42" t="s">
        <v>64</v>
      </c>
    </row>
    <row r="4" spans="1:2" ht="42" customHeight="1" x14ac:dyDescent="0.25">
      <c r="A4" s="41"/>
      <c r="B4" s="46" t="s">
        <v>62</v>
      </c>
    </row>
    <row r="5" spans="1:2" ht="12" customHeight="1" x14ac:dyDescent="0.25">
      <c r="A5" s="41"/>
      <c r="B5" s="41"/>
    </row>
    <row r="6" spans="1:2" ht="30" customHeight="1" x14ac:dyDescent="0.3">
      <c r="A6" s="43"/>
      <c r="B6" s="48" t="s">
        <v>65</v>
      </c>
    </row>
    <row r="7" spans="1:2" ht="32.1" customHeight="1" x14ac:dyDescent="0.25">
      <c r="A7" s="47"/>
      <c r="B7" s="49" t="s">
        <v>66</v>
      </c>
    </row>
    <row r="8" spans="1:2" ht="32.1" customHeight="1" x14ac:dyDescent="0.25">
      <c r="A8" s="41"/>
      <c r="B8" s="50" t="s">
        <v>67</v>
      </c>
    </row>
    <row r="9" spans="1:2" ht="32.1" customHeight="1" x14ac:dyDescent="0.25">
      <c r="A9" s="47"/>
      <c r="B9" s="51" t="s">
        <v>68</v>
      </c>
    </row>
    <row r="10" spans="1:2" ht="32.1" customHeight="1" x14ac:dyDescent="0.25">
      <c r="A10" s="41"/>
      <c r="B10" s="50" t="s">
        <v>69</v>
      </c>
    </row>
    <row r="11" spans="1:2" ht="32.1" customHeight="1" x14ac:dyDescent="0.25">
      <c r="A11" s="47"/>
      <c r="B11" s="51" t="s">
        <v>70</v>
      </c>
    </row>
    <row r="12" spans="1:2" ht="32.1" customHeight="1" x14ac:dyDescent="0.25">
      <c r="A12" s="41"/>
      <c r="B12" s="50" t="s">
        <v>71</v>
      </c>
    </row>
    <row r="13" spans="1:2" ht="12" customHeight="1" x14ac:dyDescent="0.25">
      <c r="A13" s="41"/>
      <c r="B13" s="41"/>
    </row>
    <row r="14" spans="1:2" ht="30" customHeight="1" x14ac:dyDescent="0.3">
      <c r="A14" s="52"/>
      <c r="B14" s="54" t="s">
        <v>72</v>
      </c>
    </row>
    <row r="15" spans="1:2" ht="32.1" customHeight="1" x14ac:dyDescent="0.25">
      <c r="A15" s="53"/>
      <c r="B15" s="55" t="s">
        <v>73</v>
      </c>
    </row>
    <row r="16" spans="1:2" ht="32.1" customHeight="1" x14ac:dyDescent="0.25">
      <c r="A16" s="41"/>
      <c r="B16" s="56" t="s">
        <v>74</v>
      </c>
    </row>
    <row r="17" spans="1:2" ht="32.1" customHeight="1" x14ac:dyDescent="0.25">
      <c r="A17" s="53"/>
      <c r="B17" s="57" t="s">
        <v>75</v>
      </c>
    </row>
    <row r="18" spans="1:2" ht="32.1" customHeight="1" x14ac:dyDescent="0.25">
      <c r="A18" s="41"/>
      <c r="B18" s="56" t="s">
        <v>76</v>
      </c>
    </row>
    <row r="19" spans="1:2" ht="32.1" customHeight="1" x14ac:dyDescent="0.25">
      <c r="A19" s="53"/>
      <c r="B19" s="57" t="s">
        <v>77</v>
      </c>
    </row>
    <row r="20" spans="1:2" ht="32.1" customHeight="1" x14ac:dyDescent="0.25">
      <c r="A20" s="41"/>
      <c r="B20" s="56" t="s">
        <v>78</v>
      </c>
    </row>
    <row r="21" spans="1:2" ht="32.1" customHeight="1" x14ac:dyDescent="0.25">
      <c r="A21" s="53"/>
      <c r="B21" s="57" t="s">
        <v>79</v>
      </c>
    </row>
    <row r="22" spans="1:2" ht="12" customHeight="1" x14ac:dyDescent="0.25">
      <c r="A22" s="41"/>
      <c r="B22" s="41"/>
    </row>
    <row r="23" spans="1:2" ht="30" customHeight="1" x14ac:dyDescent="0.3">
      <c r="A23" s="45"/>
      <c r="B23" s="59" t="s">
        <v>80</v>
      </c>
    </row>
    <row r="24" spans="1:2" ht="26.1" customHeight="1" x14ac:dyDescent="0.25">
      <c r="A24" s="58"/>
      <c r="B24" s="60" t="s">
        <v>81</v>
      </c>
    </row>
    <row r="25" spans="1:2" ht="27.95" customHeight="1" x14ac:dyDescent="0.25">
      <c r="A25" s="41"/>
      <c r="B25" s="61" t="s">
        <v>82</v>
      </c>
    </row>
    <row r="26" spans="1:2" ht="6" customHeight="1" x14ac:dyDescent="0.25">
      <c r="A26" s="41"/>
      <c r="B26" s="41"/>
    </row>
    <row r="27" spans="1:2" ht="26.1" customHeight="1" x14ac:dyDescent="0.25">
      <c r="A27" s="58"/>
      <c r="B27" s="62" t="s">
        <v>83</v>
      </c>
    </row>
    <row r="28" spans="1:2" ht="27.95" customHeight="1" x14ac:dyDescent="0.25">
      <c r="A28" s="41"/>
      <c r="B28" s="61" t="s">
        <v>84</v>
      </c>
    </row>
    <row r="29" spans="1:2" ht="6" customHeight="1" x14ac:dyDescent="0.25">
      <c r="A29" s="41"/>
      <c r="B29" s="41"/>
    </row>
    <row r="30" spans="1:2" ht="26.1" customHeight="1" x14ac:dyDescent="0.25">
      <c r="A30" s="58"/>
      <c r="B30" s="62" t="s">
        <v>85</v>
      </c>
    </row>
    <row r="31" spans="1:2" ht="27.95" customHeight="1" x14ac:dyDescent="0.25">
      <c r="A31" s="41"/>
      <c r="B31" s="61" t="s">
        <v>86</v>
      </c>
    </row>
    <row r="32" spans="1:2" ht="6" customHeight="1" x14ac:dyDescent="0.25">
      <c r="A32" s="41"/>
      <c r="B32" s="41"/>
    </row>
    <row r="33" spans="1:2" ht="26.1" customHeight="1" x14ac:dyDescent="0.25">
      <c r="A33" s="58"/>
      <c r="B33" s="62" t="s">
        <v>87</v>
      </c>
    </row>
    <row r="34" spans="1:2" ht="27.95" customHeight="1" x14ac:dyDescent="0.25">
      <c r="A34" s="41"/>
      <c r="B34" s="61" t="s">
        <v>88</v>
      </c>
    </row>
    <row r="35" spans="1:2" ht="6" customHeight="1" x14ac:dyDescent="0.25">
      <c r="A35" s="41"/>
      <c r="B35" s="41"/>
    </row>
    <row r="36" spans="1:2" ht="26.1" customHeight="1" x14ac:dyDescent="0.25">
      <c r="A36" s="58"/>
      <c r="B36" s="62" t="s">
        <v>89</v>
      </c>
    </row>
    <row r="37" spans="1:2" ht="27.95" customHeight="1" x14ac:dyDescent="0.25">
      <c r="A37" s="41"/>
      <c r="B37" s="61" t="s">
        <v>90</v>
      </c>
    </row>
    <row r="38" spans="1:2" ht="6" customHeight="1" x14ac:dyDescent="0.25">
      <c r="A38" s="41"/>
      <c r="B38" s="41"/>
    </row>
    <row r="39" spans="1:2" ht="26.1" customHeight="1" x14ac:dyDescent="0.25">
      <c r="A39" s="58"/>
      <c r="B39" s="62" t="s">
        <v>91</v>
      </c>
    </row>
    <row r="40" spans="1:2" ht="27.95" customHeight="1" x14ac:dyDescent="0.25">
      <c r="A40" s="41"/>
      <c r="B40" s="61" t="s">
        <v>92</v>
      </c>
    </row>
  </sheetData>
  <sheetProtection sheet="1" objects="1" scenarios="1"/>
  <mergeCells count="1">
    <mergeCell ref="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Dashboard</vt:lpstr>
      <vt:lpstr>Goals Setup</vt:lpstr>
      <vt:lpstr>Sinking Funds</vt:lpstr>
      <vt:lpstr>Contribution Log</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Belkis Aslani</cp:lastModifiedBy>
  <dcterms:created xsi:type="dcterms:W3CDTF">2026-02-23T13:23:59Z</dcterms:created>
  <dcterms:modified xsi:type="dcterms:W3CDTF">2026-02-23T18:42:13Z</dcterms:modified>
</cp:coreProperties>
</file>