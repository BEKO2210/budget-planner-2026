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lki\Desktop\Claude\EtsyShop\Products\02-Debt-Payoff-Tracker\"/>
    </mc:Choice>
  </mc:AlternateContent>
  <xr:revisionPtr revIDLastSave="0" documentId="13_ncr:1_{11B777B5-1CCD-424D-B152-3D1D8D4D0A27}" xr6:coauthVersionLast="47" xr6:coauthVersionMax="47" xr10:uidLastSave="{00000000-0000-0000-0000-000000000000}"/>
  <bookViews>
    <workbookView xWindow="-120" yWindow="-120" windowWidth="38640" windowHeight="21120" activeTab="5" xr2:uid="{00000000-000D-0000-FFFF-FFFF00000000}"/>
  </bookViews>
  <sheets>
    <sheet name="Dashboard" sheetId="1" r:id="rId1"/>
    <sheet name="Snowball Method" sheetId="2" r:id="rId2"/>
    <sheet name="Avalanche Method" sheetId="3" r:id="rId3"/>
    <sheet name="Method Comparison" sheetId="4" r:id="rId4"/>
    <sheet name="Payment Log" sheetId="5" r:id="rId5"/>
    <sheet name="Instruction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3" l="1" a="1"/>
  <c r="F27" i="3" s="1"/>
  <c r="E27" i="3" a="1"/>
  <c r="E27" i="3" s="1"/>
  <c r="D27" i="3" a="1"/>
  <c r="D27" i="3" s="1"/>
  <c r="I27" i="3" s="1"/>
  <c r="C27" i="3" a="1"/>
  <c r="C27" i="3" s="1"/>
  <c r="F26" i="3" a="1"/>
  <c r="F26" i="3" s="1"/>
  <c r="E26" i="3" a="1"/>
  <c r="E26" i="3" s="1"/>
  <c r="D26" i="3" a="1"/>
  <c r="D26" i="3" s="1"/>
  <c r="C26" i="3" a="1"/>
  <c r="C26" i="3" s="1"/>
  <c r="F25" i="3" a="1"/>
  <c r="F25" i="3" s="1"/>
  <c r="E25" i="3" a="1"/>
  <c r="E25" i="3" s="1"/>
  <c r="D25" i="3" a="1"/>
  <c r="D25" i="3" s="1"/>
  <c r="K25" i="3" s="1"/>
  <c r="C25" i="3" a="1"/>
  <c r="C25" i="3" s="1"/>
  <c r="F24" i="3" a="1"/>
  <c r="F24" i="3" s="1"/>
  <c r="E24" i="3" a="1"/>
  <c r="E24" i="3" s="1"/>
  <c r="D24" i="3" a="1"/>
  <c r="D24" i="3" s="1"/>
  <c r="K24" i="3" s="1"/>
  <c r="C24" i="3" a="1"/>
  <c r="C24" i="3" s="1"/>
  <c r="F23" i="3" a="1"/>
  <c r="F23" i="3" s="1"/>
  <c r="E23" i="3" a="1"/>
  <c r="E23" i="3" s="1"/>
  <c r="D23" i="3" a="1"/>
  <c r="D23" i="3" s="1"/>
  <c r="C23" i="3" a="1"/>
  <c r="C23" i="3" s="1"/>
  <c r="F22" i="3" a="1"/>
  <c r="F22" i="3" s="1"/>
  <c r="E22" i="3" a="1"/>
  <c r="E22" i="3" s="1"/>
  <c r="D22" i="3" a="1"/>
  <c r="D22" i="3" s="1"/>
  <c r="C22" i="3" a="1"/>
  <c r="C22" i="3" s="1"/>
  <c r="F21" i="3" a="1"/>
  <c r="F21" i="3" s="1"/>
  <c r="E21" i="3" a="1"/>
  <c r="E21" i="3" s="1"/>
  <c r="D21" i="3" a="1"/>
  <c r="D21" i="3" s="1"/>
  <c r="C21" i="3" a="1"/>
  <c r="C21" i="3" s="1"/>
  <c r="F20" i="3" a="1"/>
  <c r="F20" i="3" s="1"/>
  <c r="E20" i="3" a="1"/>
  <c r="E20" i="3" s="1"/>
  <c r="D20" i="3" a="1"/>
  <c r="D20" i="3" s="1"/>
  <c r="C20" i="3" a="1"/>
  <c r="C20" i="3" s="1"/>
  <c r="F19" i="3" a="1"/>
  <c r="F19" i="3" s="1"/>
  <c r="E19" i="3" a="1"/>
  <c r="E19" i="3" s="1"/>
  <c r="D19" i="3" a="1"/>
  <c r="D19" i="3" s="1"/>
  <c r="C19" i="3" a="1"/>
  <c r="C19" i="3" s="1"/>
  <c r="F18" i="3" a="1"/>
  <c r="F18" i="3" s="1"/>
  <c r="E18" i="3" a="1"/>
  <c r="E18" i="3" s="1"/>
  <c r="D18" i="3" a="1"/>
  <c r="D18" i="3" s="1"/>
  <c r="G18" i="3" s="1"/>
  <c r="C18" i="3" a="1"/>
  <c r="C18" i="3" s="1"/>
  <c r="F17" i="3" a="1"/>
  <c r="F17" i="3" s="1"/>
  <c r="E17" i="3" a="1"/>
  <c r="E17" i="3" s="1"/>
  <c r="D17" i="3" a="1"/>
  <c r="D17" i="3" s="1"/>
  <c r="C17" i="3" a="1"/>
  <c r="C17" i="3" s="1"/>
  <c r="F16" i="3" a="1"/>
  <c r="F16" i="3" s="1"/>
  <c r="E16" i="3" a="1"/>
  <c r="E16" i="3" s="1"/>
  <c r="D16" i="3" a="1"/>
  <c r="D16" i="3" s="1"/>
  <c r="C16" i="3" a="1"/>
  <c r="C16" i="3" s="1"/>
  <c r="E38" i="3" s="1"/>
  <c r="F15" i="3" a="1"/>
  <c r="F15" i="3" s="1"/>
  <c r="E15" i="3" a="1"/>
  <c r="E15" i="3" s="1"/>
  <c r="D15" i="3" a="1"/>
  <c r="D15" i="3" s="1"/>
  <c r="C15" i="3" a="1"/>
  <c r="C15" i="3" s="1"/>
  <c r="F14" i="3" a="1"/>
  <c r="F14" i="3" s="1"/>
  <c r="E14" i="3" a="1"/>
  <c r="E14" i="3" s="1"/>
  <c r="D14" i="3" a="1"/>
  <c r="D14" i="3" s="1"/>
  <c r="C14" i="3" a="1"/>
  <c r="C14" i="3" s="1"/>
  <c r="F13" i="3" a="1"/>
  <c r="F13" i="3" s="1"/>
  <c r="E13" i="3" a="1"/>
  <c r="E13" i="3" s="1"/>
  <c r="D13" i="3" a="1"/>
  <c r="D13" i="3" s="1"/>
  <c r="C13" i="3" a="1"/>
  <c r="C13" i="3" s="1"/>
  <c r="F27" i="2" a="1"/>
  <c r="F27" i="2" s="1"/>
  <c r="E27" i="2" a="1"/>
  <c r="E27" i="2" s="1"/>
  <c r="D27" i="2" a="1"/>
  <c r="D27" i="2" s="1"/>
  <c r="H27" i="2" s="1"/>
  <c r="C27" i="2" a="1"/>
  <c r="C27" i="2" s="1"/>
  <c r="F26" i="2" a="1"/>
  <c r="F26" i="2" s="1"/>
  <c r="E26" i="2" a="1"/>
  <c r="E26" i="2" s="1"/>
  <c r="D26" i="2" a="1"/>
  <c r="D26" i="2" s="1"/>
  <c r="C26" i="2" a="1"/>
  <c r="C26" i="2" s="1"/>
  <c r="F25" i="2" a="1"/>
  <c r="F25" i="2" s="1"/>
  <c r="E25" i="2" a="1"/>
  <c r="E25" i="2" s="1"/>
  <c r="D25" i="2" a="1"/>
  <c r="D25" i="2" s="1"/>
  <c r="C25" i="2" a="1"/>
  <c r="C25" i="2" s="1"/>
  <c r="F24" i="2" a="1"/>
  <c r="F24" i="2" s="1"/>
  <c r="E24" i="2" a="1"/>
  <c r="E24" i="2" s="1"/>
  <c r="D24" i="2" a="1"/>
  <c r="D24" i="2" s="1"/>
  <c r="C24" i="2" a="1"/>
  <c r="C24" i="2" s="1"/>
  <c r="F23" i="2" a="1"/>
  <c r="F23" i="2" s="1"/>
  <c r="E23" i="2" a="1"/>
  <c r="E23" i="2" s="1"/>
  <c r="D23" i="2" a="1"/>
  <c r="D23" i="2" s="1"/>
  <c r="C23" i="2" a="1"/>
  <c r="C23" i="2" s="1"/>
  <c r="F22" i="2" a="1"/>
  <c r="F22" i="2" s="1"/>
  <c r="E22" i="2" a="1"/>
  <c r="E22" i="2" s="1"/>
  <c r="D22" i="2" a="1"/>
  <c r="D22" i="2" s="1"/>
  <c r="K22" i="2" s="1"/>
  <c r="C22" i="2" a="1"/>
  <c r="C22" i="2" s="1"/>
  <c r="F21" i="2" a="1"/>
  <c r="F21" i="2" s="1"/>
  <c r="E21" i="2" a="1"/>
  <c r="E21" i="2" s="1"/>
  <c r="D21" i="2" a="1"/>
  <c r="D21" i="2" s="1"/>
  <c r="C21" i="2" a="1"/>
  <c r="C21" i="2" s="1"/>
  <c r="F20" i="2" a="1"/>
  <c r="F20" i="2" s="1"/>
  <c r="E20" i="2" a="1"/>
  <c r="E20" i="2" s="1"/>
  <c r="D20" i="2" a="1"/>
  <c r="D20" i="2" s="1"/>
  <c r="K20" i="2" s="1"/>
  <c r="C20" i="2" a="1"/>
  <c r="C20" i="2" s="1"/>
  <c r="F19" i="2" a="1"/>
  <c r="F19" i="2" s="1"/>
  <c r="E19" i="2" a="1"/>
  <c r="E19" i="2" s="1"/>
  <c r="D19" i="2" a="1"/>
  <c r="D19" i="2" s="1"/>
  <c r="C19" i="2" a="1"/>
  <c r="C19" i="2" s="1"/>
  <c r="F18" i="2" a="1"/>
  <c r="F18" i="2" s="1"/>
  <c r="E18" i="2" a="1"/>
  <c r="E18" i="2" s="1"/>
  <c r="D18" i="2" a="1"/>
  <c r="D18" i="2" s="1"/>
  <c r="K18" i="2" s="1"/>
  <c r="C18" i="2" a="1"/>
  <c r="C18" i="2" s="1"/>
  <c r="F17" i="2" a="1"/>
  <c r="F17" i="2" s="1"/>
  <c r="E17" i="2" a="1"/>
  <c r="E17" i="2" s="1"/>
  <c r="D17" i="2" a="1"/>
  <c r="D17" i="2" s="1"/>
  <c r="C17" i="2" a="1"/>
  <c r="C17" i="2" s="1"/>
  <c r="F16" i="2" a="1"/>
  <c r="F16" i="2" s="1"/>
  <c r="E16" i="2" a="1"/>
  <c r="E16" i="2" s="1"/>
  <c r="D16" i="2" a="1"/>
  <c r="D16" i="2" s="1"/>
  <c r="C16" i="2" a="1"/>
  <c r="C16" i="2" s="1"/>
  <c r="E38" i="2" s="1"/>
  <c r="F15" i="2" a="1"/>
  <c r="F15" i="2" s="1"/>
  <c r="E15" i="2" a="1"/>
  <c r="E15" i="2" s="1"/>
  <c r="D15" i="2" a="1"/>
  <c r="D15" i="2" s="1"/>
  <c r="C15" i="2" a="1"/>
  <c r="C15" i="2" s="1"/>
  <c r="F14" i="2" a="1"/>
  <c r="F14" i="2" s="1"/>
  <c r="E14" i="2" a="1"/>
  <c r="E14" i="2" s="1"/>
  <c r="D14" i="2" a="1"/>
  <c r="D14" i="2" s="1"/>
  <c r="C14" i="2" a="1"/>
  <c r="C14" i="2" s="1"/>
  <c r="F13" i="2" a="1"/>
  <c r="F13" i="2" s="1"/>
  <c r="E13" i="2" a="1"/>
  <c r="E13" i="2" s="1"/>
  <c r="D13" i="2" a="1"/>
  <c r="D13" i="2" s="1"/>
  <c r="C13" i="2" a="1"/>
  <c r="C13" i="2" s="1"/>
  <c r="F108" i="5"/>
  <c r="F107" i="5"/>
  <c r="F106" i="5"/>
  <c r="F105" i="5"/>
  <c r="F104" i="5"/>
  <c r="F103" i="5"/>
  <c r="F102" i="5"/>
  <c r="F101" i="5"/>
  <c r="F100" i="5"/>
  <c r="F99" i="5"/>
  <c r="F98" i="5"/>
  <c r="F97" i="5"/>
  <c r="F96" i="5"/>
  <c r="F95" i="5"/>
  <c r="F94" i="5"/>
  <c r="F93" i="5"/>
  <c r="F92" i="5"/>
  <c r="F91" i="5"/>
  <c r="F90" i="5"/>
  <c r="F89" i="5"/>
  <c r="F88" i="5"/>
  <c r="F87" i="5"/>
  <c r="F86" i="5"/>
  <c r="F85" i="5"/>
  <c r="G84" i="5"/>
  <c r="F84" i="5"/>
  <c r="F83" i="5"/>
  <c r="F82" i="5"/>
  <c r="F81" i="5"/>
  <c r="F80" i="5"/>
  <c r="F79" i="5"/>
  <c r="F78" i="5"/>
  <c r="F77" i="5"/>
  <c r="F76" i="5"/>
  <c r="F75" i="5"/>
  <c r="F74" i="5"/>
  <c r="F73" i="5"/>
  <c r="F72" i="5"/>
  <c r="F71" i="5"/>
  <c r="F70" i="5"/>
  <c r="F69" i="5"/>
  <c r="F68" i="5"/>
  <c r="F67" i="5"/>
  <c r="F66" i="5"/>
  <c r="F65" i="5"/>
  <c r="F64" i="5"/>
  <c r="F63" i="5"/>
  <c r="F62" i="5"/>
  <c r="F61" i="5"/>
  <c r="F60" i="5"/>
  <c r="G59" i="5"/>
  <c r="F59" i="5"/>
  <c r="F58" i="5"/>
  <c r="F57" i="5"/>
  <c r="F56" i="5"/>
  <c r="F55" i="5"/>
  <c r="F54" i="5"/>
  <c r="F53" i="5"/>
  <c r="F52" i="5"/>
  <c r="F51" i="5"/>
  <c r="F50" i="5"/>
  <c r="F49" i="5"/>
  <c r="F48" i="5"/>
  <c r="F47" i="5"/>
  <c r="F46" i="5"/>
  <c r="F45" i="5"/>
  <c r="F44" i="5"/>
  <c r="F43" i="5"/>
  <c r="F42" i="5"/>
  <c r="F41" i="5"/>
  <c r="F40" i="5"/>
  <c r="F39" i="5"/>
  <c r="F38" i="5"/>
  <c r="F37" i="5"/>
  <c r="F36" i="5"/>
  <c r="F35" i="5"/>
  <c r="G34" i="5"/>
  <c r="F34" i="5"/>
  <c r="F33" i="5"/>
  <c r="F32" i="5"/>
  <c r="F31" i="5"/>
  <c r="F30" i="5"/>
  <c r="F29" i="5"/>
  <c r="F28" i="5"/>
  <c r="F27" i="5"/>
  <c r="F26" i="5"/>
  <c r="F25" i="5"/>
  <c r="F24" i="5"/>
  <c r="F23" i="5"/>
  <c r="F22" i="5"/>
  <c r="F21" i="5"/>
  <c r="F20" i="5"/>
  <c r="F19" i="5"/>
  <c r="F18" i="5"/>
  <c r="F17" i="5"/>
  <c r="F16" i="5"/>
  <c r="F15" i="5"/>
  <c r="F14" i="5"/>
  <c r="F13" i="5"/>
  <c r="F12" i="5"/>
  <c r="F11" i="5"/>
  <c r="F10" i="5"/>
  <c r="F9" i="5"/>
  <c r="G6" i="5"/>
  <c r="D6" i="5"/>
  <c r="E31" i="4"/>
  <c r="D31" i="4"/>
  <c r="E30" i="4"/>
  <c r="D30" i="4"/>
  <c r="E29" i="4"/>
  <c r="D29" i="4"/>
  <c r="E28" i="4"/>
  <c r="D28" i="4"/>
  <c r="G13" i="3"/>
  <c r="G13" i="2"/>
  <c r="E35" i="1"/>
  <c r="E34" i="1"/>
  <c r="E33" i="1"/>
  <c r="E32" i="1"/>
  <c r="F29" i="1"/>
  <c r="D29" i="1"/>
  <c r="C29" i="1"/>
  <c r="F10" i="1"/>
  <c r="D10" i="1"/>
  <c r="B10" i="1"/>
  <c r="F7" i="1"/>
  <c r="D7" i="1"/>
  <c r="B7" i="1"/>
  <c r="K22" i="3" l="1"/>
  <c r="J22" i="3"/>
  <c r="G22" i="3"/>
  <c r="J26" i="3"/>
  <c r="I26" i="3"/>
  <c r="G26" i="3"/>
  <c r="K26" i="3"/>
  <c r="H26" i="3"/>
  <c r="I23" i="3"/>
  <c r="H23" i="3"/>
  <c r="K23" i="3"/>
  <c r="J23" i="3"/>
  <c r="G23" i="3"/>
  <c r="J21" i="3"/>
  <c r="H21" i="3"/>
  <c r="K21" i="3"/>
  <c r="I21" i="3"/>
  <c r="G21" i="3"/>
  <c r="K20" i="3"/>
  <c r="H20" i="3"/>
  <c r="K19" i="3"/>
  <c r="I19" i="3"/>
  <c r="H19" i="3"/>
  <c r="G19" i="3"/>
  <c r="J19" i="3"/>
  <c r="J17" i="3"/>
  <c r="H17" i="3"/>
  <c r="K17" i="3"/>
  <c r="F28" i="3"/>
  <c r="I26" i="2"/>
  <c r="K26" i="2"/>
  <c r="K25" i="2"/>
  <c r="J25" i="2"/>
  <c r="I25" i="2"/>
  <c r="G25" i="2"/>
  <c r="H25" i="2"/>
  <c r="K24" i="2"/>
  <c r="G24" i="2"/>
  <c r="J24" i="2"/>
  <c r="I23" i="2"/>
  <c r="J23" i="2"/>
  <c r="H23" i="2"/>
  <c r="G23" i="2"/>
  <c r="H21" i="2"/>
  <c r="K21" i="2"/>
  <c r="I21" i="2"/>
  <c r="G21" i="2"/>
  <c r="J21" i="2"/>
  <c r="I19" i="2"/>
  <c r="H19" i="2"/>
  <c r="J19" i="2"/>
  <c r="K19" i="2"/>
  <c r="J17" i="2"/>
  <c r="K17" i="2"/>
  <c r="I17" i="2"/>
  <c r="F28" i="2"/>
  <c r="D28" i="2"/>
  <c r="E36" i="2"/>
  <c r="E34" i="2"/>
  <c r="H18" i="2"/>
  <c r="K23" i="2"/>
  <c r="G27" i="2"/>
  <c r="G25" i="3"/>
  <c r="G18" i="2"/>
  <c r="I18" i="2"/>
  <c r="J18" i="2"/>
  <c r="H20" i="2"/>
  <c r="I27" i="2"/>
  <c r="H18" i="3"/>
  <c r="I25" i="3"/>
  <c r="G27" i="3"/>
  <c r="G20" i="2"/>
  <c r="H25" i="3"/>
  <c r="H13" i="2"/>
  <c r="E32" i="2" s="1"/>
  <c r="I20" i="2"/>
  <c r="G22" i="2"/>
  <c r="J27" i="2"/>
  <c r="I18" i="3"/>
  <c r="G20" i="3"/>
  <c r="J25" i="3"/>
  <c r="H27" i="3"/>
  <c r="J20" i="2"/>
  <c r="H22" i="2"/>
  <c r="K27" i="2"/>
  <c r="I20" i="3"/>
  <c r="J27" i="3"/>
  <c r="G17" i="2"/>
  <c r="H24" i="2"/>
  <c r="J20" i="3"/>
  <c r="H22" i="3"/>
  <c r="K27" i="3"/>
  <c r="J18" i="3"/>
  <c r="I22" i="2"/>
  <c r="K18" i="3"/>
  <c r="J22" i="2"/>
  <c r="I24" i="2"/>
  <c r="G26" i="2"/>
  <c r="I22" i="3"/>
  <c r="G24" i="3"/>
  <c r="D28" i="3"/>
  <c r="H13" i="3"/>
  <c r="H17" i="2"/>
  <c r="G19" i="2"/>
  <c r="H26" i="2"/>
  <c r="G17" i="3"/>
  <c r="H24" i="3"/>
  <c r="I24" i="3"/>
  <c r="I17" i="3"/>
  <c r="J24" i="3"/>
  <c r="J26" i="2"/>
  <c r="I13" i="3" l="1"/>
  <c r="J13" i="3" s="1"/>
  <c r="E32" i="3"/>
  <c r="I13" i="2"/>
  <c r="G14" i="3"/>
  <c r="H14" i="3" s="1"/>
  <c r="E34" i="3"/>
  <c r="E36" i="3"/>
  <c r="G14" i="2"/>
  <c r="H14" i="2" s="1"/>
  <c r="K13" i="3" l="1"/>
  <c r="J13" i="2"/>
  <c r="K13" i="2"/>
  <c r="I14" i="2"/>
  <c r="K14" i="2" s="1"/>
  <c r="G15" i="2"/>
  <c r="H15" i="2" s="1"/>
  <c r="I14" i="3"/>
  <c r="G15" i="3"/>
  <c r="H15" i="3" s="1"/>
  <c r="I15" i="3" l="1"/>
  <c r="J15" i="3" s="1"/>
  <c r="G16" i="3"/>
  <c r="H16" i="3" s="1"/>
  <c r="J14" i="3"/>
  <c r="K14" i="3"/>
  <c r="I15" i="2"/>
  <c r="J15" i="2" s="1"/>
  <c r="G16" i="2"/>
  <c r="H16" i="2" s="1"/>
  <c r="J14" i="2"/>
  <c r="I16" i="2" l="1"/>
  <c r="K15" i="2"/>
  <c r="I16" i="3"/>
  <c r="K16" i="3" s="1"/>
  <c r="K15" i="3"/>
  <c r="F44" i="3" l="1"/>
  <c r="K28" i="3"/>
  <c r="J16" i="3"/>
  <c r="F42" i="3"/>
  <c r="I28" i="3"/>
  <c r="D8" i="4" s="1"/>
  <c r="F43" i="3"/>
  <c r="J16" i="2"/>
  <c r="I28" i="2"/>
  <c r="C8" i="4" s="1"/>
  <c r="F42" i="2"/>
  <c r="K16" i="2"/>
  <c r="K28" i="2" s="1"/>
  <c r="E8" i="4" l="1"/>
  <c r="C10" i="4"/>
  <c r="C9" i="4"/>
  <c r="F43" i="2"/>
  <c r="F44" i="2"/>
  <c r="D10" i="4"/>
  <c r="D9" i="4"/>
  <c r="E9" i="4" l="1"/>
  <c r="E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<sst xmlns="http://schemas.openxmlformats.org/spreadsheetml/2006/main" count="202" uniqueCount="171">
  <si>
    <t>DEBT PAYOFF TRACKER</t>
  </si>
  <si>
    <t>Your complete roadmap to becoming debt-free</t>
  </si>
  <si>
    <t>TOTAL DEBT REMAINING</t>
  </si>
  <si>
    <t>TOTAL PAID OFF</t>
  </si>
  <si>
    <t>MONTHLY PAYMENT AMOUNT</t>
  </si>
  <si>
    <t>AVG INTEREST RATE</t>
  </si>
  <si>
    <t>ACTIVE DEBTS</t>
  </si>
  <si>
    <t>PROGRESS TOWARD DEBT-FREE</t>
  </si>
  <si>
    <t>DEBT OVERVIEW</t>
  </si>
  <si>
    <t>Debt Name</t>
  </si>
  <si>
    <t>Original Balance</t>
  </si>
  <si>
    <t>Current Balance</t>
  </si>
  <si>
    <t>Interest Rate (APR)</t>
  </si>
  <si>
    <t>Min Monthly Payment</t>
  </si>
  <si>
    <t>Status</t>
  </si>
  <si>
    <t>Credit Card A</t>
  </si>
  <si>
    <t>Active</t>
  </si>
  <si>
    <t>Student Loan</t>
  </si>
  <si>
    <t>Car Loan</t>
  </si>
  <si>
    <t>Credit Card B</t>
  </si>
  <si>
    <t>TOTALS</t>
  </si>
  <si>
    <t>PAYOFF PROGRESS SUMMARY</t>
  </si>
  <si>
    <t>Total Original Debt</t>
  </si>
  <si>
    <t>Total Currently Owed</t>
  </si>
  <si>
    <t>Amount Paid Off</t>
  </si>
  <si>
    <t>Percentage Complete</t>
  </si>
  <si>
    <t>DEBT SNOWBALL METHOD</t>
  </si>
  <si>
    <t>The Debt Snowball Method: Pay minimum payments on ALL debts, then throw every extra dollar at the SMALLEST BALANCE first. When that debt is paid off, roll its entire payment into the next smallest debt. This creates a "snowball" effect where your payments get larger and larger as each debt is eliminated.</t>
  </si>
  <si>
    <t>Extra Monthly Payment:</t>
  </si>
  <si>
    <t>(Enter debts on Dashboard tab. This tab auto-calculates from that data.)</t>
  </si>
  <si>
    <t>SNOWBALL PAYOFF ORDER (Smallest Balance First)</t>
  </si>
  <si>
    <t>Priority</t>
  </si>
  <si>
    <t>Balance</t>
  </si>
  <si>
    <t>APR</t>
  </si>
  <si>
    <t>Min Payment</t>
  </si>
  <si>
    <t>Extra Payment</t>
  </si>
  <si>
    <t>Total Payment</t>
  </si>
  <si>
    <t>Months to Payoff</t>
  </si>
  <si>
    <t>Est. Payoff Date</t>
  </si>
  <si>
    <t>Total Interest</t>
  </si>
  <si>
    <t>SNOWBALL ROLLOVER CASCADE</t>
  </si>
  <si>
    <t>Step 1:  Pay off smallest debt</t>
  </si>
  <si>
    <t xml:space="preserve">  |</t>
  </si>
  <si>
    <t>Step 2:  Roll payment into next debt</t>
  </si>
  <si>
    <t>Step 3:  Roll combined payment into next</t>
  </si>
  <si>
    <t>Step 4:  Snowball keeps growing!</t>
  </si>
  <si>
    <t>SNOWBALL METHOD SUMMARY</t>
  </si>
  <si>
    <t>Total Months to Debt-Free:</t>
  </si>
  <si>
    <t>Total Interest You Will Pay:</t>
  </si>
  <si>
    <t>Total Cost of All Debt:</t>
  </si>
  <si>
    <t>DEBT AVALANCHE METHOD</t>
  </si>
  <si>
    <t>The Debt Avalanche Method: Pay minimum payments on ALL debts, then throw every extra dollar at the HIGHEST INTEREST RATE first. When that debt is paid off, roll its entire payment into the next highest-rate debt. This method saves you the most money in total interest paid over the life of your debts.</t>
  </si>
  <si>
    <t>AVALANCHE PAYOFF ORDER (Highest Interest Rate First)</t>
  </si>
  <si>
    <t>AVALANCHE ROLLOVER CASCADE</t>
  </si>
  <si>
    <t>Step 1:  Attack highest-rate debt</t>
  </si>
  <si>
    <t>Step 2:  Roll payment to next highest rate</t>
  </si>
  <si>
    <t>Step 3:  Combined payment hits next debt</t>
  </si>
  <si>
    <t>Step 4:  Maximum interest savings!</t>
  </si>
  <si>
    <t>AVALANCHE METHOD SUMMARY</t>
  </si>
  <si>
    <t>METHOD COMPARISON</t>
  </si>
  <si>
    <t>Snowball vs Avalanche: Which Strategy is Best for You?</t>
  </si>
  <si>
    <t>SIDE-BY-SIDE COMPARISON</t>
  </si>
  <si>
    <t>Metric</t>
  </si>
  <si>
    <t>Snowball Method</t>
  </si>
  <si>
    <t>Avalanche Method</t>
  </si>
  <si>
    <t>Difference</t>
  </si>
  <si>
    <t>Total Months to Debt-Free</t>
  </si>
  <si>
    <t>Total Interest Paid</t>
  </si>
  <si>
    <t>Total Cost of Debt</t>
  </si>
  <si>
    <t>PROS &amp; CONS</t>
  </si>
  <si>
    <t>Snowball</t>
  </si>
  <si>
    <t>Avalanche</t>
  </si>
  <si>
    <t>Pros</t>
  </si>
  <si>
    <t>Quick wins build motivation</t>
  </si>
  <si>
    <t>Saves the most money in interest</t>
  </si>
  <si>
    <t>Simple to understand</t>
  </si>
  <si>
    <t>Mathematically optimal</t>
  </si>
  <si>
    <t>Psychological momentum</t>
  </si>
  <si>
    <t>Faster total debt elimination*</t>
  </si>
  <si>
    <t>Cons</t>
  </si>
  <si>
    <t>Costs more in total interest</t>
  </si>
  <si>
    <t>Largest debts may take longer</t>
  </si>
  <si>
    <t>Not mathematically optimal</t>
  </si>
  <si>
    <t>Can feel slow at first</t>
  </si>
  <si>
    <t>Requires more discipline</t>
  </si>
  <si>
    <t>RECOMMENDATION: If motivation and quick wins matter most to you, choose the SNOWBALL method. If saving the most money in interest is your priority, choose the AVALANCHE method. Either way, the best method is the one you will stick with!</t>
  </si>
  <si>
    <t>"WHAT IF" SCENARIOS</t>
  </si>
  <si>
    <t>See what happens when you increase your extra monthly payment:</t>
  </si>
  <si>
    <t>Scenario</t>
  </si>
  <si>
    <t>Extra $/Month Added</t>
  </si>
  <si>
    <t>Estimated Months Saved*</t>
  </si>
  <si>
    <t>Estimated Interest Saved*</t>
  </si>
  <si>
    <t>Add $50/month extra</t>
  </si>
  <si>
    <t>Add $100/month extra</t>
  </si>
  <si>
    <t>Add $200/month extra</t>
  </si>
  <si>
    <t>Add $500/month extra</t>
  </si>
  <si>
    <t>* Estimates based on weighted average interest rate. Actual results may vary by payoff order.</t>
  </si>
  <si>
    <t>PAYMENT LOG</t>
  </si>
  <si>
    <t>Track every payment you make toward becoming debt-free</t>
  </si>
  <si>
    <t>Total Payments Logged:</t>
  </si>
  <si>
    <t>Total Amount Paid:</t>
  </si>
  <si>
    <t>Date</t>
  </si>
  <si>
    <t>Payment Amount</t>
  </si>
  <si>
    <t>Type</t>
  </si>
  <si>
    <t>Running Balance</t>
  </si>
  <si>
    <t>Notes</t>
  </si>
  <si>
    <t>DEBT PAYOFF TRACKER - INSTRUCTIONS</t>
  </si>
  <si>
    <t>Welcome to your Debt Payoff Tracker! This workbook is your complete toolkit for eliminating debt. It will help you organize your debts, compare payoff strategies, track your payments, and visualize your progress toward becoming debt-free.</t>
  </si>
  <si>
    <t>GETTING STARTED</t>
  </si>
  <si>
    <t>1</t>
  </si>
  <si>
    <t>MAKE A COPY: Save this file with your name (e.g., 'MyDebtTracker.xlsx') so you always have a clean original.</t>
  </si>
  <si>
    <t>2</t>
  </si>
  <si>
    <t>ENTER YOUR DEBTS: Go to the Dashboard tab and enter all your debts in the Debt Overview table. Include the debt name, original balance, current balance, interest rate (APR), and minimum monthly payment.</t>
  </si>
  <si>
    <t>3</t>
  </si>
  <si>
    <t>SET YOUR EXTRA PAYMENT: On the Snowball Method and Avalanche Method tabs, enter how much extra you can pay each month beyond your minimums in the 'Extra Monthly Payment' field.</t>
  </si>
  <si>
    <t>4</t>
  </si>
  <si>
    <t>REVIEW PAYOFF STRATEGIES: Check the Snowball Method tab (pay smallest balance first) and the Avalanche Method tab (pay highest interest first) to see your personalized payoff plans.</t>
  </si>
  <si>
    <t>5</t>
  </si>
  <si>
    <t>COMPARE METHODS: Visit the Method Comparison tab to see a side-by-side analysis. Try the 'What If' scenarios to see how extra payments accelerate your journey.</t>
  </si>
  <si>
    <t>6</t>
  </si>
  <si>
    <t>LOG YOUR PAYMENTS: Each time you make a payment, record it in the Payment Log tab. Select the date, debt name, amount, and type (Minimum, Extra, or Lump Sum).</t>
  </si>
  <si>
    <t>7</t>
  </si>
  <si>
    <t>UPDATE &amp; CELEBRATE: As you make payments, update your Current Balance on the Dashboard. Watch your KPIs and progress percentage update automatically!</t>
  </si>
  <si>
    <t>KEY DEFINITIONS</t>
  </si>
  <si>
    <t>APR (Annual Percentage Rate): The yearly interest rate charged on your debt. A 19.99% APR means you pay about 1.67% per month on your remaining balance.</t>
  </si>
  <si>
    <t>Minimum Payment</t>
  </si>
  <si>
    <t>Minimum Payment: The smallest amount your lender requires you to pay each month. Paying only minimums means you'll be in debt much longer and pay far more in interest.</t>
  </si>
  <si>
    <t>Debt Snowball</t>
  </si>
  <si>
    <t>Debt Snowball: A payoff strategy where you attack the smallest balance first while paying minimums on everything else. Quick wins provide motivation.</t>
  </si>
  <si>
    <t>Debt Avalanche</t>
  </si>
  <si>
    <t>Debt Avalanche: A payoff strategy where you attack the highest interest rate first while paying minimums on everything else. This saves the most money mathematically.</t>
  </si>
  <si>
    <t>Principal</t>
  </si>
  <si>
    <t>Principal: The original amount borrowed, not including interest. When you make a payment, part goes to interest and part reduces the principal.</t>
  </si>
  <si>
    <t>Extra Payment: Any amount you pay above the minimum required payment. Extra payments go directly toward reducing your principal balance.</t>
  </si>
  <si>
    <t>Rollover Payment</t>
  </si>
  <si>
    <t>Rollover Payment: When you pay off one debt, you take its entire payment (minimum + extra) and add it to the next debt's payment. This is the 'snowball' or 'avalanche' effect.</t>
  </si>
  <si>
    <t>TIPS FOR PAYING OFF DEBT FASTER</t>
  </si>
  <si>
    <t>1.</t>
  </si>
  <si>
    <t>Automate your payments so you never miss one. Set up automatic payments for at least the minimum on every debt.</t>
  </si>
  <si>
    <t>2.</t>
  </si>
  <si>
    <t>Use windfalls wisely. Tax refunds, bonuses, and gifts can make huge dents in your debt when applied as lump-sum payments.</t>
  </si>
  <si>
    <t>3.</t>
  </si>
  <si>
    <t>Cut one expense and redirect the savings. Cancel a subscription, eat out less, or downgrade a service. Every dollar counts.</t>
  </si>
  <si>
    <t>4.</t>
  </si>
  <si>
    <t>Consider a balance transfer to a 0% APR card for high-interest credit card debt (but watch out for transfer fees and the promotional period end date).</t>
  </si>
  <si>
    <t>5.</t>
  </si>
  <si>
    <t>Call your lenders and negotiate. Ask for a lower interest rate, especially if you have a good payment history. The worst they can say is no.</t>
  </si>
  <si>
    <t>6.</t>
  </si>
  <si>
    <t>Track every payment in this workbook. Seeing your progress is one of the most powerful motivators to keep going.</t>
  </si>
  <si>
    <t>7.</t>
  </si>
  <si>
    <t>Celebrate milestones! When you pay off a debt, acknowledge the achievement. It fuels motivation for the next one.</t>
  </si>
  <si>
    <t>8.</t>
  </si>
  <si>
    <t>Do not take on new debt while paying off existing debt. Put the credit cards away and switch to cash or debit.</t>
  </si>
  <si>
    <t>9.</t>
  </si>
  <si>
    <t>Build a small emergency fund ($500-$1,000) first so unexpected expenses don't derail your debt payoff plan.</t>
  </si>
  <si>
    <t>10.</t>
  </si>
  <si>
    <t>Consider a side hustle or selling unused items. Even temporary extra income can dramatically accelerate your payoff timeline.</t>
  </si>
  <si>
    <t>FREQUENTLY ASKED QUESTIONS</t>
  </si>
  <si>
    <t>Q: Which method should I choose - Snowball or Avalanche?</t>
  </si>
  <si>
    <t>A: If you need motivation and quick wins, go with Snowball. If you want to save the most money in interest, go with Avalanche. The best method is the one you'll stick with consistently. Many people start with Snowball for motivation, then switch to Avalanche once they build momentum.</t>
  </si>
  <si>
    <t>Q: How accurate are the payoff estimates?</t>
  </si>
  <si>
    <t>A: The estimates use standard amortization formulas and assume consistent payments. Real results may vary slightly due to interest compounding methods, payment timing, and balance changes. They are excellent for planning and comparison purposes.</t>
  </si>
  <si>
    <t>Q: What if I can only pay minimums right now?</t>
  </si>
  <si>
    <t>A: That's okay! Enter $0 for Extra Monthly Payment. The tracker still works - it will show you how long minimum payments will take. As your situation improves, increase the extra payment amount to see the impact.</t>
  </si>
  <si>
    <t>Q: Should I save or pay off debt first?</t>
  </si>
  <si>
    <t>A: Financial experts generally recommend: 1) Build a small emergency fund ($500-$1,000), 2) Pay off high-interest debt (above 7-8%), 3) Build a full emergency fund, 4) Pay off remaining debt. But everyone's situation is unique.</t>
  </si>
  <si>
    <t>Q: How often should I update this tracker?</t>
  </si>
  <si>
    <t>A: Update your Current Balances on the Dashboard at least monthly, ideally after each statement. Log every payment in the Payment Log as you make it. Regular updating keeps you motivated and your projections accurate.</t>
  </si>
  <si>
    <t>Q: Can I add more than 15 debts?</t>
  </si>
  <si>
    <t>A: The default template supports up to 15 debts, which covers most situations. If you need more, you can insert additional rows in the Dashboard debt table and update the formula ranges accordingly.</t>
  </si>
  <si>
    <t>You've got this! Every payment brings you closer to financial freedom.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</si>
</sst>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
    <numFmt numFmtId="167" formatCode="mm/dd/yyyy"/>
  </numFmts>
  <fonts count="26" x14ac:knownFonts="1">
    <font>
      <sz val="11"/>
      <color theme="1"/>
      <name val="Calibri"/>
      <family val="2"/>
      <scheme val="minor"/>
    </font>
    <font>
      <b/>
      <sz val="20"/>
      <color rgb="FFFFFFFF"/>
      <name val="Calibri"/>
    </font>
    <font>
      <i/>
      <sz val="11"/>
      <color rgb="FFFFFFFF"/>
      <name val="Calibri"/>
    </font>
    <font>
      <sz val="10"/>
      <color rgb="FFFFFFFF"/>
      <name val="Calibri"/>
    </font>
    <font>
      <b/>
      <sz val="18"/>
      <color rgb="FFFFFFFF"/>
      <name val="Calibri"/>
    </font>
    <font>
      <b/>
      <sz val="14"/>
      <color rgb="FFFFFFFF"/>
      <name val="Calibri"/>
    </font>
    <font>
      <b/>
      <sz val="12"/>
      <color rgb="FFFFFFFF"/>
      <name val="Calibri"/>
    </font>
    <font>
      <b/>
      <sz val="11"/>
      <color rgb="FF2C3E50"/>
      <name val="Calibri"/>
    </font>
    <font>
      <sz val="11"/>
      <color rgb="FF000000"/>
      <name val="Calibri"/>
    </font>
    <font>
      <b/>
      <sz val="11"/>
      <color rgb="FFFFFFFF"/>
      <name val="Calibri"/>
    </font>
    <font>
      <b/>
      <sz val="13"/>
      <color rgb="FF2C3E50"/>
      <name val="Calibri"/>
    </font>
    <font>
      <i/>
      <sz val="11"/>
      <color rgb="FF333333"/>
      <name val="Calibri"/>
    </font>
    <font>
      <b/>
      <sz val="14"/>
      <color rgb="FF27AE60"/>
      <name val="Calibri"/>
    </font>
    <font>
      <sz val="9"/>
      <color rgb="FF7F8C8D"/>
      <name val="Calibri"/>
    </font>
    <font>
      <sz val="11"/>
      <color rgb="FF333333"/>
      <name val="Calibri"/>
    </font>
    <font>
      <b/>
      <sz val="14"/>
      <color rgb="FF3498DB"/>
      <name val="Calibri"/>
    </font>
    <font>
      <b/>
      <sz val="14"/>
      <color rgb="FF2C3E50"/>
      <name val="Calibri"/>
    </font>
    <font>
      <b/>
      <sz val="14"/>
      <color rgb="FFE74C3C"/>
      <name val="Calibri"/>
    </font>
    <font>
      <b/>
      <sz val="12"/>
      <color rgb="FF2C3E50"/>
      <name val="Calibri"/>
    </font>
    <font>
      <b/>
      <sz val="13"/>
      <color rgb="FF27AE60"/>
      <name val="Calibri"/>
    </font>
    <font>
      <i/>
      <sz val="9"/>
      <color rgb="FF7F8C8D"/>
      <name val="Calibri"/>
    </font>
    <font>
      <sz val="12"/>
      <color rgb="FF333333"/>
      <name val="Calibri"/>
    </font>
    <font>
      <b/>
      <sz val="16"/>
      <color rgb="FFFFFFFF"/>
      <name val="Calibri"/>
    </font>
    <font>
      <b/>
      <sz val="11"/>
      <color rgb="FF27AE60"/>
      <name val="Calibri"/>
    </font>
    <font>
      <i/>
      <sz val="11"/>
      <color rgb="FF1E8449"/>
      <name val="Calibri"/>
    </font>
    <font>
      <b/>
      <i/>
      <sz val="14"/>
      <color rgb="FF27AE60"/>
      <name val="Calibri"/>
    </font>
  </fonts>
  <fills count="20">
    <fill>
      <patternFill patternType="none"/>
    </fill>
    <fill>
      <patternFill patternType="gray125"/>
    </fill>
    <fill>
      <patternFill patternType="solid">
        <fgColor rgb="FF2C3E50"/>
      </patternFill>
    </fill>
    <fill>
      <patternFill patternType="solid">
        <fgColor rgb="FFE74C3C"/>
      </patternFill>
    </fill>
    <fill>
      <patternFill patternType="solid">
        <fgColor rgb="FF27AE60"/>
      </patternFill>
    </fill>
    <fill>
      <patternFill patternType="solid">
        <fgColor rgb="FF3498DB"/>
      </patternFill>
    </fill>
    <fill>
      <patternFill patternType="solid">
        <fgColor rgb="FF1A5276"/>
      </patternFill>
    </fill>
    <fill>
      <patternFill patternType="solid">
        <fgColor rgb="FFFFFFFF"/>
      </patternFill>
    </fill>
    <fill>
      <patternFill patternType="solid">
        <fgColor rgb="FFECF0F1"/>
      </patternFill>
    </fill>
    <fill>
      <patternFill patternType="solid">
        <fgColor rgb="FFD6EAF8"/>
      </patternFill>
    </fill>
    <fill>
      <patternFill patternType="solid">
        <fgColor rgb="FFD5F5E3"/>
      </patternFill>
    </fill>
    <fill>
      <patternFill patternType="solid">
        <fgColor rgb="FFFADBD8"/>
      </patternFill>
    </fill>
    <fill>
      <patternFill patternType="solid">
        <fgColor rgb="FFC0392B"/>
      </patternFill>
    </fill>
    <fill>
      <patternFill patternType="solid">
        <fgColor rgb="FF8E44AD"/>
      </patternFill>
    </fill>
    <fill>
      <patternFill patternType="solid">
        <fgColor rgb="FFF4ECF7"/>
      </patternFill>
    </fill>
    <fill>
      <patternFill patternType="solid">
        <fgColor rgb="FFEBF5FB"/>
        <bgColor indexed="64"/>
      </patternFill>
    </fill>
    <fill>
      <patternFill patternType="solid">
        <fgColor rgb="FFD6EAF8"/>
        <bgColor indexed="64"/>
      </patternFill>
    </fill>
    <fill>
      <patternFill patternType="solid">
        <fgColor rgb="FFEAFAF1"/>
        <bgColor indexed="64"/>
      </patternFill>
    </fill>
    <fill>
      <patternFill patternType="solid">
        <fgColor rgb="FFFDEDEC"/>
        <bgColor indexed="64"/>
      </patternFill>
    </fill>
    <fill>
      <patternFill patternType="solid">
        <fgColor rgb="FFD5F5E3"/>
        <bgColor indexed="64"/>
      </patternFill>
    </fill>
  </fills>
  <borders count="15">
    <border>
      <left/>
      <right/>
      <top/>
      <bottom/>
      <diagonal/>
    </border>
    <border>
      <left style="thin">
        <color rgb="FFFFFFFF"/>
      </left>
      <right style="thin">
        <color rgb="FFFFFFFF"/>
      </right>
      <top style="thin">
        <color rgb="FFFFFFFF"/>
      </top>
      <bottom style="thin">
        <color rgb="FFFFFFFF"/>
      </bottom>
      <diagonal/>
    </border>
    <border>
      <left style="thin">
        <color rgb="FFBDC3C7"/>
      </left>
      <right style="thin">
        <color rgb="FFBDC3C7"/>
      </right>
      <top style="thin">
        <color rgb="FFBDC3C7"/>
      </top>
      <bottom style="thin">
        <color rgb="FFBDC3C7"/>
      </bottom>
      <diagonal/>
    </border>
    <border>
      <left style="medium">
        <color rgb="FF27AE60"/>
      </left>
      <right style="medium">
        <color rgb="FF27AE60"/>
      </right>
      <top style="medium">
        <color rgb="FF27AE60"/>
      </top>
      <bottom style="medium">
        <color rgb="FF27AE60"/>
      </bottom>
      <diagonal/>
    </border>
    <border>
      <left style="medium">
        <color rgb="FFE74C3C"/>
      </left>
      <right style="medium">
        <color rgb="FFE74C3C"/>
      </right>
      <top style="medium">
        <color rgb="FFE74C3C"/>
      </top>
      <bottom style="medium">
        <color rgb="FFE74C3C"/>
      </bottom>
      <diagonal/>
    </border>
    <border>
      <left style="thin">
        <color rgb="FFBDC3C7"/>
      </left>
      <right style="thin">
        <color rgb="FFBDC3C7"/>
      </right>
      <top style="thin">
        <color rgb="FFBDC3C7"/>
      </top>
      <bottom/>
      <diagonal/>
    </border>
    <border>
      <left style="thin">
        <color rgb="FFBDC3C7"/>
      </left>
      <right style="thin">
        <color rgb="FFBDC3C7"/>
      </right>
      <top/>
      <bottom style="thin">
        <color rgb="FFBDC3C7"/>
      </bottom>
      <diagonal/>
    </border>
    <border>
      <left style="thin">
        <color rgb="FF3498DB"/>
      </left>
      <right style="thin">
        <color rgb="FFBDC3C7"/>
      </right>
      <top style="thin">
        <color rgb="FFBDC3C7"/>
      </top>
      <bottom style="thin">
        <color rgb="FFBDC3C7"/>
      </bottom>
      <diagonal/>
    </border>
    <border>
      <left style="thin">
        <color rgb="FFBDC3C7"/>
      </left>
      <right style="thin">
        <color rgb="FF3498DB"/>
      </right>
      <top style="thin">
        <color rgb="FFBDC3C7"/>
      </top>
      <bottom style="thin">
        <color rgb="FFBDC3C7"/>
      </bottom>
      <diagonal/>
    </border>
    <border>
      <left style="thin">
        <color rgb="FF3498DB"/>
      </left>
      <right style="thin">
        <color rgb="FFBDC3C7"/>
      </right>
      <top style="thin">
        <color rgb="FFBDC3C7"/>
      </top>
      <bottom/>
      <diagonal/>
    </border>
    <border>
      <left style="thin">
        <color rgb="FFBDC3C7"/>
      </left>
      <right style="thin">
        <color rgb="FF3498DB"/>
      </right>
      <top style="thin">
        <color rgb="FFBDC3C7"/>
      </top>
      <bottom/>
      <diagonal/>
    </border>
    <border>
      <left/>
      <right style="thin">
        <color rgb="FFBDC3C7"/>
      </right>
      <top style="thin">
        <color rgb="FFBDC3C7"/>
      </top>
      <bottom style="thin">
        <color rgb="FFBDC3C7"/>
      </bottom>
      <diagonal/>
    </border>
    <border>
      <left style="thin">
        <color rgb="FF27AE60"/>
      </left>
      <right style="thin">
        <color rgb="FFBDC3C7"/>
      </right>
      <top style="thin">
        <color rgb="FFBDC3C7"/>
      </top>
      <bottom style="thin">
        <color rgb="FFBDC3C7"/>
      </bottom>
      <diagonal/>
    </border>
    <border>
      <left style="thin">
        <color rgb="FFBDC3C7"/>
      </left>
      <right/>
      <top style="thin">
        <color rgb="FFBDC3C7"/>
      </top>
      <bottom style="thin">
        <color rgb="FFBDC3C7"/>
      </bottom>
      <diagonal/>
    </border>
    <border>
      <left/>
      <right style="thin">
        <color rgb="FF27AE60"/>
      </right>
      <top style="thin">
        <color rgb="FFBDC3C7"/>
      </top>
      <bottom style="thin">
        <color rgb="FFBDC3C7"/>
      </bottom>
      <diagonal/>
    </border>
  </borders>
  <cellStyleXfs count="1">
    <xf numFmtId="0" fontId="0" fillId="0" borderId="0"/>
  </cellStyleXfs>
  <cellXfs count="148">
    <xf numFmtId="0" fontId="0" fillId="0" borderId="0" xfId="0"/>
    <xf numFmtId="0" fontId="0" fillId="0" borderId="0" xfId="0" applyProtection="1"/>
    <xf numFmtId="0" fontId="1" fillId="2" borderId="0" xfId="0" applyFont="1" applyFill="1" applyAlignment="1" applyProtection="1">
      <alignment horizontal="center" vertical="center" wrapText="1"/>
    </xf>
    <xf numFmtId="0" fontId="0" fillId="2" borderId="0" xfId="0" applyFill="1" applyProtection="1"/>
    <xf numFmtId="0" fontId="2" fillId="2" borderId="0" xfId="0" applyFont="1" applyFill="1" applyAlignment="1" applyProtection="1">
      <alignment horizontal="center" vertical="center" wrapText="1"/>
    </xf>
    <xf numFmtId="0" fontId="3" fillId="3" borderId="1" xfId="0" applyFont="1" applyFill="1" applyBorder="1" applyAlignment="1" applyProtection="1">
      <alignment horizontal="center" vertical="center" wrapText="1"/>
    </xf>
    <xf numFmtId="0" fontId="3" fillId="3" borderId="1" xfId="0" applyFont="1" applyFill="1" applyBorder="1" applyProtection="1"/>
    <xf numFmtId="0" fontId="3" fillId="4" borderId="1" xfId="0" applyFont="1" applyFill="1" applyBorder="1" applyAlignment="1" applyProtection="1">
      <alignment horizontal="center" vertical="center" wrapText="1"/>
    </xf>
    <xf numFmtId="0" fontId="3" fillId="4" borderId="1" xfId="0" applyFont="1" applyFill="1" applyBorder="1" applyProtection="1"/>
    <xf numFmtId="0" fontId="3" fillId="5" borderId="1" xfId="0" applyFont="1" applyFill="1" applyBorder="1" applyAlignment="1" applyProtection="1">
      <alignment horizontal="center" vertical="center" wrapText="1"/>
    </xf>
    <xf numFmtId="0" fontId="3" fillId="5" borderId="1" xfId="0" applyFont="1" applyFill="1" applyBorder="1" applyProtection="1"/>
    <xf numFmtId="164" fontId="4" fillId="3" borderId="1" xfId="0" applyNumberFormat="1" applyFont="1" applyFill="1" applyBorder="1" applyAlignment="1" applyProtection="1">
      <alignment horizontal="center" vertical="center" wrapText="1"/>
    </xf>
    <xf numFmtId="0" fontId="4" fillId="3" borderId="1" xfId="0" applyFont="1" applyFill="1" applyBorder="1" applyProtection="1"/>
    <xf numFmtId="164" fontId="4" fillId="4" borderId="1" xfId="0" applyNumberFormat="1" applyFont="1" applyFill="1" applyBorder="1" applyAlignment="1" applyProtection="1">
      <alignment horizontal="center" vertical="center" wrapText="1"/>
    </xf>
    <xf numFmtId="0" fontId="4" fillId="4" borderId="1" xfId="0" applyFont="1" applyFill="1" applyBorder="1" applyProtection="1"/>
    <xf numFmtId="164" fontId="4" fillId="5" borderId="1" xfId="0" applyNumberFormat="1" applyFont="1" applyFill="1" applyBorder="1" applyAlignment="1" applyProtection="1">
      <alignment horizontal="center" vertical="center" wrapText="1"/>
    </xf>
    <xf numFmtId="0" fontId="4" fillId="5" borderId="1" xfId="0" applyFont="1" applyFill="1" applyBorder="1" applyProtection="1"/>
    <xf numFmtId="0" fontId="3" fillId="6" borderId="1" xfId="0" applyFont="1" applyFill="1" applyBorder="1" applyAlignment="1" applyProtection="1">
      <alignment horizontal="center" vertical="center" wrapText="1"/>
    </xf>
    <xf numFmtId="0" fontId="3" fillId="6" borderId="1" xfId="0" applyFont="1" applyFill="1" applyBorder="1" applyProtection="1"/>
    <xf numFmtId="0" fontId="3" fillId="2" borderId="1" xfId="0" applyFont="1" applyFill="1" applyBorder="1" applyAlignment="1" applyProtection="1">
      <alignment horizontal="center" vertical="center" wrapText="1"/>
    </xf>
    <xf numFmtId="0" fontId="3" fillId="2" borderId="1" xfId="0" applyFont="1" applyFill="1" applyBorder="1" applyProtection="1"/>
    <xf numFmtId="10" fontId="4" fillId="6" borderId="1" xfId="0" applyNumberFormat="1" applyFont="1" applyFill="1" applyBorder="1" applyAlignment="1" applyProtection="1">
      <alignment horizontal="center" vertical="center" wrapText="1"/>
    </xf>
    <xf numFmtId="0" fontId="4" fillId="6" borderId="1" xfId="0" applyFont="1" applyFill="1" applyBorder="1" applyProtection="1"/>
    <xf numFmtId="1" fontId="4" fillId="2" borderId="1" xfId="0" applyNumberFormat="1" applyFont="1" applyFill="1" applyBorder="1" applyAlignment="1" applyProtection="1">
      <alignment horizontal="center" vertical="center" wrapText="1"/>
    </xf>
    <xf numFmtId="0" fontId="4" fillId="2" borderId="1" xfId="0" applyFont="1" applyFill="1" applyBorder="1" applyProtection="1"/>
    <xf numFmtId="165" fontId="4" fillId="4" borderId="1" xfId="0" applyNumberFormat="1" applyFont="1" applyFill="1" applyBorder="1" applyAlignment="1" applyProtection="1">
      <alignment horizontal="center" vertical="center" wrapText="1"/>
    </xf>
    <xf numFmtId="0" fontId="5" fillId="2" borderId="0" xfId="0" applyFont="1" applyFill="1" applyAlignment="1" applyProtection="1">
      <alignment horizontal="center" vertical="center" wrapText="1"/>
    </xf>
    <xf numFmtId="0" fontId="6" fillId="2" borderId="2" xfId="0" applyFont="1" applyFill="1" applyBorder="1" applyAlignment="1" applyProtection="1">
      <alignment horizontal="center" vertical="center" wrapText="1"/>
    </xf>
    <xf numFmtId="164" fontId="8" fillId="7" borderId="2" xfId="0" applyNumberFormat="1" applyFont="1" applyFill="1" applyBorder="1" applyAlignment="1" applyProtection="1">
      <alignment horizontal="center" vertical="center" wrapText="1"/>
    </xf>
    <xf numFmtId="10" fontId="8" fillId="7" borderId="2" xfId="0" applyNumberFormat="1" applyFont="1" applyFill="1" applyBorder="1" applyAlignment="1" applyProtection="1">
      <alignment horizontal="center" vertical="center" wrapText="1"/>
    </xf>
    <xf numFmtId="0" fontId="8" fillId="7" borderId="2" xfId="0" applyFont="1" applyFill="1" applyBorder="1" applyAlignment="1" applyProtection="1">
      <alignment horizontal="center" vertical="center" wrapText="1"/>
    </xf>
    <xf numFmtId="164" fontId="8" fillId="8" borderId="2" xfId="0" applyNumberFormat="1" applyFont="1" applyFill="1" applyBorder="1" applyAlignment="1" applyProtection="1">
      <alignment horizontal="center" vertical="center" wrapText="1"/>
    </xf>
    <xf numFmtId="10" fontId="8" fillId="8" borderId="2" xfId="0" applyNumberFormat="1" applyFont="1" applyFill="1" applyBorder="1" applyAlignment="1" applyProtection="1">
      <alignment horizontal="center" vertical="center" wrapText="1"/>
    </xf>
    <xf numFmtId="0" fontId="8" fillId="8" borderId="2" xfId="0" applyFont="1" applyFill="1" applyBorder="1" applyAlignment="1" applyProtection="1">
      <alignment horizontal="center" vertical="center" wrapText="1"/>
    </xf>
    <xf numFmtId="0" fontId="9" fillId="2" borderId="0" xfId="0" applyFont="1" applyFill="1" applyAlignment="1" applyProtection="1">
      <alignment horizontal="center" vertical="center" wrapText="1"/>
    </xf>
    <xf numFmtId="164" fontId="9" fillId="2" borderId="2" xfId="0" applyNumberFormat="1" applyFont="1" applyFill="1" applyBorder="1" applyAlignment="1" applyProtection="1">
      <alignment horizontal="center" vertical="center" wrapText="1"/>
    </xf>
    <xf numFmtId="0" fontId="9" fillId="2" borderId="2" xfId="0" applyFont="1" applyFill="1" applyBorder="1" applyAlignment="1" applyProtection="1">
      <alignment horizontal="center" vertical="center" wrapText="1"/>
    </xf>
    <xf numFmtId="0" fontId="5" fillId="4" borderId="0" xfId="0" applyFont="1" applyFill="1" applyAlignment="1" applyProtection="1">
      <alignment horizontal="center" vertical="center" wrapText="1"/>
    </xf>
    <xf numFmtId="0" fontId="0" fillId="4" borderId="0" xfId="0" applyFill="1" applyProtection="1"/>
    <xf numFmtId="0" fontId="7" fillId="8" borderId="2" xfId="0" applyFont="1" applyFill="1" applyBorder="1" applyAlignment="1" applyProtection="1">
      <alignment horizontal="left" vertical="center" wrapText="1"/>
    </xf>
    <xf numFmtId="0" fontId="0" fillId="8" borderId="2" xfId="0" applyFill="1" applyBorder="1" applyProtection="1"/>
    <xf numFmtId="164" fontId="10" fillId="7" borderId="2" xfId="0" applyNumberFormat="1" applyFont="1" applyFill="1" applyBorder="1" applyAlignment="1" applyProtection="1">
      <alignment horizontal="center" vertical="center" wrapText="1"/>
    </xf>
    <xf numFmtId="0" fontId="0" fillId="7" borderId="2" xfId="0" applyFill="1" applyBorder="1" applyProtection="1"/>
    <xf numFmtId="165" fontId="10" fillId="7" borderId="2" xfId="0" applyNumberFormat="1" applyFont="1" applyFill="1" applyBorder="1" applyAlignment="1" applyProtection="1">
      <alignment horizontal="center" vertical="center" wrapText="1"/>
    </xf>
    <xf numFmtId="0" fontId="6" fillId="2" borderId="5" xfId="0" applyFont="1" applyFill="1" applyBorder="1" applyAlignment="1" applyProtection="1">
      <alignment horizontal="center" vertical="center" wrapText="1"/>
    </xf>
    <xf numFmtId="164" fontId="9" fillId="2" borderId="6" xfId="0" applyNumberFormat="1" applyFont="1" applyFill="1" applyBorder="1" applyAlignment="1" applyProtection="1">
      <alignment horizontal="center" vertical="center" wrapText="1"/>
    </xf>
    <xf numFmtId="0" fontId="9" fillId="2" borderId="6" xfId="0" applyFont="1" applyFill="1" applyBorder="1" applyAlignment="1" applyProtection="1">
      <alignment horizontal="center" vertical="center" wrapText="1"/>
    </xf>
    <xf numFmtId="0" fontId="1" fillId="5" borderId="0" xfId="0" applyFont="1" applyFill="1" applyAlignment="1" applyProtection="1">
      <alignment horizontal="center" vertical="center" wrapText="1"/>
    </xf>
    <xf numFmtId="0" fontId="0" fillId="5" borderId="0" xfId="0" applyFill="1" applyProtection="1"/>
    <xf numFmtId="0" fontId="11" fillId="9" borderId="2" xfId="0" applyFont="1" applyFill="1" applyBorder="1" applyAlignment="1" applyProtection="1">
      <alignment horizontal="left" vertical="top" wrapText="1"/>
    </xf>
    <xf numFmtId="0" fontId="0" fillId="9" borderId="2" xfId="0" applyFill="1" applyBorder="1" applyProtection="1"/>
    <xf numFmtId="0" fontId="7" fillId="8" borderId="0" xfId="0" applyFont="1" applyFill="1" applyAlignment="1" applyProtection="1">
      <alignment horizontal="right" vertical="center"/>
    </xf>
    <xf numFmtId="0" fontId="0" fillId="8" borderId="0" xfId="0" applyFill="1" applyProtection="1"/>
    <xf numFmtId="0" fontId="13" fillId="0" borderId="0" xfId="0" applyFont="1" applyProtection="1"/>
    <xf numFmtId="0" fontId="0" fillId="0" borderId="0" xfId="0" applyProtection="1"/>
    <xf numFmtId="0" fontId="5" fillId="5" borderId="0" xfId="0" applyFont="1" applyFill="1" applyAlignment="1" applyProtection="1">
      <alignment horizontal="center" vertical="center" wrapText="1"/>
    </xf>
    <xf numFmtId="166" fontId="8" fillId="7" borderId="2" xfId="0" applyNumberFormat="1" applyFont="1" applyFill="1" applyBorder="1" applyAlignment="1" applyProtection="1">
      <alignment horizontal="center" vertical="center" wrapText="1"/>
    </xf>
    <xf numFmtId="167" fontId="8" fillId="7" borderId="2" xfId="0" applyNumberFormat="1" applyFont="1" applyFill="1" applyBorder="1" applyAlignment="1" applyProtection="1">
      <alignment horizontal="center" vertical="center" wrapText="1"/>
    </xf>
    <xf numFmtId="166" fontId="8" fillId="8" borderId="2" xfId="0" applyNumberFormat="1" applyFont="1" applyFill="1" applyBorder="1" applyAlignment="1" applyProtection="1">
      <alignment horizontal="center" vertical="center" wrapText="1"/>
    </xf>
    <xf numFmtId="167" fontId="8" fillId="8" borderId="2" xfId="0" applyNumberFormat="1" applyFont="1" applyFill="1" applyBorder="1" applyAlignment="1" applyProtection="1">
      <alignment horizontal="center" vertical="center" wrapText="1"/>
    </xf>
    <xf numFmtId="166" fontId="9" fillId="2" borderId="2" xfId="0" applyNumberFormat="1" applyFont="1" applyFill="1" applyBorder="1" applyAlignment="1" applyProtection="1">
      <alignment horizontal="center" vertical="center" wrapText="1"/>
    </xf>
    <xf numFmtId="0" fontId="7" fillId="9" borderId="2" xfId="0" applyFont="1" applyFill="1" applyBorder="1" applyProtection="1"/>
    <xf numFmtId="0" fontId="14" fillId="0" borderId="2" xfId="0" applyFont="1" applyBorder="1" applyAlignment="1" applyProtection="1">
      <alignment horizontal="left" vertical="center" wrapText="1"/>
    </xf>
    <xf numFmtId="0" fontId="0" fillId="0" borderId="2" xfId="0" applyBorder="1" applyProtection="1"/>
    <xf numFmtId="0" fontId="15" fillId="0" borderId="0" xfId="0" applyFont="1" applyAlignment="1" applyProtection="1">
      <alignment horizontal="center" vertical="center" wrapText="1"/>
    </xf>
    <xf numFmtId="0" fontId="6" fillId="4" borderId="0" xfId="0" applyFont="1" applyFill="1" applyAlignment="1" applyProtection="1">
      <alignment horizontal="center" vertical="center" wrapText="1"/>
    </xf>
    <xf numFmtId="0" fontId="7" fillId="10" borderId="2" xfId="0" applyFont="1" applyFill="1" applyBorder="1" applyAlignment="1" applyProtection="1">
      <alignment horizontal="right" vertical="center"/>
    </xf>
    <xf numFmtId="0" fontId="0" fillId="10" borderId="2" xfId="0" applyFill="1" applyBorder="1" applyProtection="1"/>
    <xf numFmtId="166" fontId="16" fillId="7" borderId="2" xfId="0" applyNumberFormat="1" applyFont="1" applyFill="1" applyBorder="1" applyAlignment="1" applyProtection="1">
      <alignment horizontal="center" vertical="center" wrapText="1"/>
    </xf>
    <xf numFmtId="164" fontId="16" fillId="7" borderId="2" xfId="0" applyNumberFormat="1" applyFont="1" applyFill="1" applyBorder="1" applyAlignment="1" applyProtection="1">
      <alignment horizontal="center" vertical="center" wrapText="1"/>
    </xf>
    <xf numFmtId="0" fontId="1" fillId="3" borderId="0" xfId="0" applyFont="1" applyFill="1" applyAlignment="1" applyProtection="1">
      <alignment horizontal="center" vertical="center" wrapText="1"/>
    </xf>
    <xf numFmtId="0" fontId="0" fillId="3" borderId="0" xfId="0" applyFill="1" applyProtection="1"/>
    <xf numFmtId="0" fontId="11" fillId="11" borderId="2" xfId="0" applyFont="1" applyFill="1" applyBorder="1" applyAlignment="1" applyProtection="1">
      <alignment horizontal="left" vertical="top" wrapText="1"/>
    </xf>
    <xf numFmtId="0" fontId="0" fillId="11" borderId="2" xfId="0" applyFill="1" applyBorder="1" applyProtection="1"/>
    <xf numFmtId="0" fontId="5" fillId="3" borderId="0" xfId="0" applyFont="1" applyFill="1" applyAlignment="1" applyProtection="1">
      <alignment horizontal="center" vertical="center" wrapText="1"/>
    </xf>
    <xf numFmtId="0" fontId="6" fillId="12" borderId="2" xfId="0" applyFont="1" applyFill="1" applyBorder="1" applyAlignment="1" applyProtection="1">
      <alignment horizontal="center" vertical="center" wrapText="1"/>
    </xf>
    <xf numFmtId="0" fontId="9" fillId="12" borderId="2" xfId="0" applyFont="1" applyFill="1" applyBorder="1" applyAlignment="1" applyProtection="1">
      <alignment horizontal="center" vertical="center" wrapText="1"/>
    </xf>
    <xf numFmtId="164" fontId="9" fillId="12" borderId="2" xfId="0" applyNumberFormat="1" applyFont="1" applyFill="1" applyBorder="1" applyAlignment="1" applyProtection="1">
      <alignment horizontal="center" vertical="center" wrapText="1"/>
    </xf>
    <xf numFmtId="166" fontId="9" fillId="12" borderId="2" xfId="0" applyNumberFormat="1" applyFont="1" applyFill="1" applyBorder="1" applyAlignment="1" applyProtection="1">
      <alignment horizontal="center" vertical="center" wrapText="1"/>
    </xf>
    <xf numFmtId="0" fontId="7" fillId="11" borderId="2" xfId="0" applyFont="1" applyFill="1" applyBorder="1" applyProtection="1"/>
    <xf numFmtId="0" fontId="17" fillId="0" borderId="0" xfId="0" applyFont="1" applyAlignment="1" applyProtection="1">
      <alignment horizontal="center" vertical="center" wrapText="1"/>
    </xf>
    <xf numFmtId="0" fontId="6" fillId="3" borderId="0" xfId="0" applyFont="1" applyFill="1" applyAlignment="1" applyProtection="1">
      <alignment horizontal="center" vertical="center" wrapText="1"/>
    </xf>
    <xf numFmtId="0" fontId="7" fillId="11" borderId="2" xfId="0" applyFont="1" applyFill="1" applyBorder="1" applyAlignment="1" applyProtection="1">
      <alignment horizontal="right" vertical="center"/>
    </xf>
    <xf numFmtId="0" fontId="1" fillId="13" borderId="0" xfId="0" applyFont="1" applyFill="1" applyAlignment="1" applyProtection="1">
      <alignment horizontal="center" vertical="center" wrapText="1"/>
    </xf>
    <xf numFmtId="0" fontId="0" fillId="13" borderId="0" xfId="0" applyFill="1" applyProtection="1"/>
    <xf numFmtId="0" fontId="2" fillId="13" borderId="0" xfId="0" applyFont="1" applyFill="1" applyAlignment="1" applyProtection="1">
      <alignment horizontal="center" vertical="center" wrapText="1"/>
    </xf>
    <xf numFmtId="0" fontId="6" fillId="2" borderId="0" xfId="0" applyFont="1" applyFill="1" applyAlignment="1" applyProtection="1">
      <alignment horizontal="center" vertical="center" wrapText="1"/>
    </xf>
    <xf numFmtId="0" fontId="7" fillId="7" borderId="2" xfId="0" applyFont="1" applyFill="1" applyBorder="1" applyAlignment="1" applyProtection="1">
      <alignment horizontal="left" vertical="center" wrapText="1"/>
    </xf>
    <xf numFmtId="166" fontId="0" fillId="7" borderId="2" xfId="0" applyNumberFormat="1" applyFill="1" applyBorder="1" applyAlignment="1" applyProtection="1">
      <alignment horizontal="center" vertical="center" wrapText="1"/>
    </xf>
    <xf numFmtId="0" fontId="7" fillId="8" borderId="2" xfId="0" applyFont="1" applyFill="1" applyBorder="1" applyAlignment="1" applyProtection="1">
      <alignment horizontal="left" vertical="center" wrapText="1"/>
    </xf>
    <xf numFmtId="164" fontId="0" fillId="8" borderId="2" xfId="0" applyNumberFormat="1" applyFill="1" applyBorder="1" applyAlignment="1" applyProtection="1">
      <alignment horizontal="center" vertical="center" wrapText="1"/>
    </xf>
    <xf numFmtId="164" fontId="0" fillId="7" borderId="2" xfId="0" applyNumberFormat="1" applyFill="1" applyBorder="1" applyAlignment="1" applyProtection="1">
      <alignment horizontal="center" vertical="center" wrapText="1"/>
    </xf>
    <xf numFmtId="0" fontId="7" fillId="10" borderId="2" xfId="0" applyFont="1" applyFill="1" applyBorder="1" applyAlignment="1" applyProtection="1">
      <alignment horizontal="center" vertical="center" wrapText="1"/>
    </xf>
    <xf numFmtId="0" fontId="14" fillId="10" borderId="2" xfId="0" applyFont="1" applyFill="1" applyBorder="1" applyAlignment="1" applyProtection="1">
      <alignment horizontal="center" vertical="center" wrapText="1"/>
    </xf>
    <xf numFmtId="0" fontId="7" fillId="11" borderId="2" xfId="0" applyFont="1" applyFill="1" applyBorder="1" applyAlignment="1" applyProtection="1">
      <alignment horizontal="center" vertical="center" wrapText="1"/>
    </xf>
    <xf numFmtId="0" fontId="14" fillId="11" borderId="2" xfId="0" applyFont="1" applyFill="1" applyBorder="1" applyAlignment="1" applyProtection="1">
      <alignment horizontal="center" vertical="center" wrapText="1"/>
    </xf>
    <xf numFmtId="0" fontId="18" fillId="14" borderId="2" xfId="0" applyFont="1" applyFill="1" applyBorder="1" applyAlignment="1" applyProtection="1">
      <alignment horizontal="center" vertical="center" wrapText="1"/>
    </xf>
    <xf numFmtId="0" fontId="0" fillId="14" borderId="2" xfId="0" applyFill="1" applyBorder="1" applyProtection="1"/>
    <xf numFmtId="0" fontId="5" fillId="13" borderId="0" xfId="0" applyFont="1" applyFill="1" applyAlignment="1" applyProtection="1">
      <alignment horizontal="center" vertical="center" wrapText="1"/>
    </xf>
    <xf numFmtId="0" fontId="11" fillId="8" borderId="0" xfId="0" applyFont="1" applyFill="1" applyAlignment="1" applyProtection="1">
      <alignment horizontal="center" vertical="center" wrapText="1"/>
    </xf>
    <xf numFmtId="0" fontId="6" fillId="13" borderId="2" xfId="0" applyFont="1" applyFill="1" applyBorder="1" applyAlignment="1" applyProtection="1">
      <alignment horizontal="center" vertical="center" wrapText="1"/>
    </xf>
    <xf numFmtId="166" fontId="0" fillId="8" borderId="2" xfId="0" applyNumberFormat="1" applyFill="1" applyBorder="1" applyAlignment="1" applyProtection="1">
      <alignment horizontal="center" vertical="center" wrapText="1"/>
    </xf>
    <xf numFmtId="0" fontId="1" fillId="4" borderId="0" xfId="0" applyFont="1" applyFill="1" applyAlignment="1" applyProtection="1">
      <alignment horizontal="center" vertical="center" wrapText="1"/>
    </xf>
    <xf numFmtId="0" fontId="2" fillId="4" borderId="0" xfId="0" applyFont="1" applyFill="1" applyAlignment="1" applyProtection="1">
      <alignment horizontal="center" vertical="center" wrapText="1"/>
    </xf>
    <xf numFmtId="0" fontId="19" fillId="0" borderId="0" xfId="0" applyFont="1" applyAlignment="1" applyProtection="1">
      <alignment horizontal="center" vertical="center" wrapText="1"/>
    </xf>
    <xf numFmtId="164" fontId="19" fillId="0" borderId="0" xfId="0" applyNumberFormat="1" applyFont="1" applyAlignment="1" applyProtection="1">
      <alignment horizontal="center" vertical="center" wrapText="1"/>
    </xf>
    <xf numFmtId="0" fontId="6" fillId="4" borderId="2" xfId="0" applyFont="1" applyFill="1" applyBorder="1" applyAlignment="1" applyProtection="1">
      <alignment horizontal="center" vertical="center" wrapText="1"/>
    </xf>
    <xf numFmtId="0" fontId="6" fillId="4" borderId="5" xfId="0" applyFont="1" applyFill="1" applyBorder="1" applyAlignment="1" applyProtection="1">
      <alignment horizontal="center" vertical="center" wrapText="1"/>
    </xf>
    <xf numFmtId="0" fontId="21" fillId="9" borderId="2" xfId="0" applyFont="1" applyFill="1" applyBorder="1" applyAlignment="1" applyProtection="1">
      <alignment horizontal="left" vertical="top" wrapText="1"/>
    </xf>
    <xf numFmtId="0" fontId="16" fillId="8" borderId="2" xfId="0" applyFont="1" applyFill="1" applyBorder="1" applyProtection="1"/>
    <xf numFmtId="0" fontId="22" fillId="5" borderId="2" xfId="0" applyFont="1" applyFill="1" applyBorder="1" applyAlignment="1" applyProtection="1">
      <alignment horizontal="center" vertical="center" wrapText="1"/>
    </xf>
    <xf numFmtId="0" fontId="14" fillId="7" borderId="2" xfId="0" applyFont="1" applyFill="1" applyBorder="1" applyAlignment="1" applyProtection="1">
      <alignment horizontal="left" vertical="center" wrapText="1"/>
    </xf>
    <xf numFmtId="0" fontId="7" fillId="7" borderId="2" xfId="0" applyFont="1" applyFill="1" applyBorder="1" applyAlignment="1" applyProtection="1">
      <alignment horizontal="center" vertical="center" wrapText="1"/>
    </xf>
    <xf numFmtId="0" fontId="14" fillId="7" borderId="2" xfId="0" applyFont="1" applyFill="1" applyBorder="1" applyAlignment="1" applyProtection="1">
      <alignment horizontal="left" vertical="top" wrapText="1"/>
    </xf>
    <xf numFmtId="0" fontId="7" fillId="8" borderId="2" xfId="0" applyFont="1" applyFill="1" applyBorder="1" applyAlignment="1" applyProtection="1">
      <alignment horizontal="center" vertical="center" wrapText="1"/>
    </xf>
    <xf numFmtId="0" fontId="14" fillId="8" borderId="2" xfId="0" applyFont="1" applyFill="1" applyBorder="1" applyAlignment="1" applyProtection="1">
      <alignment horizontal="left" vertical="top" wrapText="1"/>
    </xf>
    <xf numFmtId="0" fontId="16" fillId="10" borderId="2" xfId="0" applyFont="1" applyFill="1" applyBorder="1" applyProtection="1"/>
    <xf numFmtId="0" fontId="23" fillId="0" borderId="2" xfId="0" applyFont="1" applyBorder="1" applyAlignment="1" applyProtection="1">
      <alignment horizontal="center" vertical="center" wrapText="1"/>
    </xf>
    <xf numFmtId="0" fontId="24" fillId="0" borderId="2" xfId="0" applyFont="1" applyBorder="1" applyAlignment="1" applyProtection="1">
      <alignment horizontal="left" vertical="center" wrapText="1"/>
    </xf>
    <xf numFmtId="0" fontId="7" fillId="9" borderId="2" xfId="0" applyFont="1" applyFill="1" applyBorder="1" applyAlignment="1" applyProtection="1">
      <alignment horizontal="left" vertical="center" wrapText="1"/>
    </xf>
    <xf numFmtId="0" fontId="14" fillId="0" borderId="2" xfId="0" applyFont="1" applyBorder="1" applyAlignment="1" applyProtection="1">
      <alignment horizontal="left" vertical="top" wrapText="1"/>
    </xf>
    <xf numFmtId="0" fontId="25" fillId="10" borderId="2" xfId="0" applyFont="1" applyFill="1" applyBorder="1" applyAlignment="1" applyProtection="1">
      <alignment horizontal="center" vertical="center" wrapText="1"/>
    </xf>
    <xf numFmtId="0" fontId="8" fillId="15" borderId="9" xfId="0" applyFont="1" applyFill="1" applyBorder="1" applyAlignment="1" applyProtection="1">
      <alignment horizontal="left" vertical="center" wrapText="1"/>
      <protection locked="0"/>
    </xf>
    <xf numFmtId="164" fontId="8" fillId="15" borderId="5" xfId="0" applyNumberFormat="1" applyFont="1" applyFill="1" applyBorder="1" applyAlignment="1" applyProtection="1">
      <alignment horizontal="center" vertical="center" wrapText="1"/>
      <protection locked="0"/>
    </xf>
    <xf numFmtId="10" fontId="8" fillId="15" borderId="5" xfId="0" applyNumberFormat="1" applyFont="1" applyFill="1" applyBorder="1" applyAlignment="1" applyProtection="1">
      <alignment horizontal="center" vertical="center" wrapText="1"/>
      <protection locked="0"/>
    </xf>
    <xf numFmtId="0" fontId="8" fillId="15" borderId="10" xfId="0" applyFont="1" applyFill="1" applyBorder="1" applyAlignment="1" applyProtection="1">
      <alignment horizontal="center" vertical="center" wrapText="1"/>
      <protection locked="0"/>
    </xf>
    <xf numFmtId="0" fontId="8" fillId="15" borderId="7" xfId="0" applyFont="1" applyFill="1" applyBorder="1" applyAlignment="1" applyProtection="1">
      <alignment horizontal="left" vertical="center" wrapText="1"/>
      <protection locked="0"/>
    </xf>
    <xf numFmtId="164" fontId="8" fillId="15" borderId="2" xfId="0" applyNumberFormat="1" applyFont="1" applyFill="1" applyBorder="1" applyAlignment="1" applyProtection="1">
      <alignment horizontal="center" vertical="center" wrapText="1"/>
      <protection locked="0"/>
    </xf>
    <xf numFmtId="10" fontId="8" fillId="15" borderId="2" xfId="0" applyNumberFormat="1" applyFont="1" applyFill="1" applyBorder="1" applyAlignment="1" applyProtection="1">
      <alignment horizontal="center" vertical="center" wrapText="1"/>
      <protection locked="0"/>
    </xf>
    <xf numFmtId="0" fontId="8" fillId="15" borderId="8" xfId="0" applyFont="1" applyFill="1" applyBorder="1" applyAlignment="1" applyProtection="1">
      <alignment horizontal="center" vertical="center" wrapText="1"/>
      <protection locked="0"/>
    </xf>
    <xf numFmtId="0" fontId="8" fillId="16" borderId="9" xfId="0" applyFont="1" applyFill="1" applyBorder="1" applyAlignment="1" applyProtection="1">
      <alignment horizontal="left" vertical="center" wrapText="1"/>
      <protection locked="0"/>
    </xf>
    <xf numFmtId="164" fontId="8" fillId="16" borderId="5" xfId="0" applyNumberFormat="1" applyFont="1" applyFill="1" applyBorder="1" applyAlignment="1" applyProtection="1">
      <alignment horizontal="center" vertical="center" wrapText="1"/>
      <protection locked="0"/>
    </xf>
    <xf numFmtId="10" fontId="8" fillId="16" borderId="5" xfId="0" applyNumberFormat="1" applyFont="1" applyFill="1" applyBorder="1" applyAlignment="1" applyProtection="1">
      <alignment horizontal="center" vertical="center" wrapText="1"/>
      <protection locked="0"/>
    </xf>
    <xf numFmtId="0" fontId="8" fillId="16" borderId="10" xfId="0" applyFont="1" applyFill="1" applyBorder="1" applyAlignment="1" applyProtection="1">
      <alignment horizontal="center" vertical="center" wrapText="1"/>
      <protection locked="0"/>
    </xf>
    <xf numFmtId="164" fontId="12" fillId="17" borderId="3" xfId="0" applyNumberFormat="1" applyFont="1" applyFill="1" applyBorder="1" applyProtection="1">
      <protection locked="0"/>
    </xf>
    <xf numFmtId="164" fontId="17" fillId="18" borderId="4" xfId="0" applyNumberFormat="1" applyFont="1" applyFill="1" applyBorder="1" applyProtection="1">
      <protection locked="0"/>
    </xf>
    <xf numFmtId="167" fontId="8" fillId="17" borderId="12" xfId="0" applyNumberFormat="1" applyFont="1" applyFill="1" applyBorder="1" applyAlignment="1" applyProtection="1">
      <alignment horizontal="center" vertical="center" wrapText="1"/>
      <protection locked="0"/>
    </xf>
    <xf numFmtId="0" fontId="8" fillId="17" borderId="11" xfId="0" applyFont="1" applyFill="1" applyBorder="1" applyAlignment="1" applyProtection="1">
      <alignment horizontal="left" vertical="center" wrapText="1"/>
      <protection locked="0"/>
    </xf>
    <xf numFmtId="164" fontId="8" fillId="17" borderId="2" xfId="0" applyNumberFormat="1" applyFont="1" applyFill="1" applyBorder="1" applyAlignment="1" applyProtection="1">
      <alignment horizontal="center" vertical="center" wrapText="1"/>
      <protection locked="0"/>
    </xf>
    <xf numFmtId="0" fontId="8" fillId="17" borderId="13" xfId="0" applyFont="1" applyFill="1" applyBorder="1" applyAlignment="1" applyProtection="1">
      <alignment horizontal="center" vertical="center" wrapText="1"/>
      <protection locked="0"/>
    </xf>
    <xf numFmtId="0" fontId="8" fillId="17" borderId="14" xfId="0" applyFont="1" applyFill="1" applyBorder="1" applyAlignment="1" applyProtection="1">
      <alignment horizontal="left" vertical="center" wrapText="1"/>
      <protection locked="0"/>
    </xf>
    <xf numFmtId="167" fontId="8" fillId="19" borderId="12" xfId="0" applyNumberFormat="1" applyFont="1" applyFill="1" applyBorder="1" applyAlignment="1" applyProtection="1">
      <alignment horizontal="center" vertical="center" wrapText="1"/>
      <protection locked="0"/>
    </xf>
    <xf numFmtId="0" fontId="8" fillId="19" borderId="11" xfId="0" applyFont="1" applyFill="1" applyBorder="1" applyAlignment="1" applyProtection="1">
      <alignment horizontal="left" vertical="center" wrapText="1"/>
      <protection locked="0"/>
    </xf>
    <xf numFmtId="164" fontId="8" fillId="19" borderId="2" xfId="0" applyNumberFormat="1" applyFont="1" applyFill="1" applyBorder="1" applyAlignment="1" applyProtection="1">
      <alignment horizontal="center" vertical="center" wrapText="1"/>
      <protection locked="0"/>
    </xf>
    <xf numFmtId="0" fontId="8" fillId="19" borderId="13" xfId="0" applyFont="1" applyFill="1" applyBorder="1" applyAlignment="1" applyProtection="1">
      <alignment horizontal="center" vertical="center" wrapText="1"/>
      <protection locked="0"/>
    </xf>
    <xf numFmtId="0" fontId="8" fillId="19" borderId="14" xfId="0" applyFont="1" applyFill="1" applyBorder="1" applyAlignment="1" applyProtection="1">
      <alignment horizontal="left" vertical="center" wrapText="1"/>
      <protection locked="0"/>
    </xf>
    <xf numFmtId="0" fontId="20" fillId="19" borderId="14" xfId="0" applyFont="1" applyFill="1" applyBorder="1" applyAlignment="1" applyProtection="1">
      <alignment horizontal="left" vertical="center" wrapText="1"/>
      <protection locked="0"/>
    </xf>
    <xf numFmtId="0" fontId="20" fillId="17" borderId="14" xfId="0" applyFont="1" applyFill="1" applyBorder="1" applyAlignment="1" applyProtection="1">
      <alignment horizontal="left" vertical="center" wrapText="1"/>
      <protection locked="0"/>
    </xf>
  </cellXfs>
  <cellStyles count="1">
    <cellStyle name="Standard" xfId="0" builtinId="0"/>
  </cellStyles>
  <dxfs count="4">
    <dxf>
      <font>
        <b/>
        <color rgb="FF1A5276"/>
        <name val="Calibri"/>
      </font>
      <fill>
        <patternFill patternType="solid">
          <fgColor rgb="FFD6EAF8"/>
        </patternFill>
      </fill>
    </dxf>
    <dxf>
      <font>
        <b/>
        <color rgb="FF1E8449"/>
        <name val="Calibri"/>
      </font>
      <fill>
        <patternFill patternType="solid">
          <fgColor rgb="FFD5F5E3"/>
        </patternFill>
      </fill>
    </dxf>
    <dxf>
      <font>
        <b/>
        <color rgb="FF1E8449"/>
        <name val="Calibri"/>
      </font>
      <fill>
        <patternFill patternType="solid">
          <fgColor rgb="FFD5F5E3"/>
        </patternFill>
      </fill>
    </dxf>
    <dxf>
      <font>
        <b/>
        <color rgb="FFE74C3C"/>
        <name val="Calibri"/>
      </font>
      <fill>
        <patternFill patternType="solid">
          <fgColor rgb="FFFADBD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86"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8375E-F10F-46F5-BEB9-1A77B186B504}">
  <we:reference id="wa200009404" version="1.0.0.5" store="de-DE"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3E50"/>
    <pageSetUpPr fitToPage="1"/>
  </sheetPr>
  <dimension ref="A1:H35"/>
  <sheetViews>
    <sheetView workbookViewId="0">
      <pane ySplit="5" topLeftCell="A6" activePane="bottomLeft" state="frozen"/>
      <selection pane="bottomLeft" activeCell="E46" sqref="E46"/>
    </sheetView>
  </sheetViews>
  <sheetFormatPr baseColWidth="10" defaultColWidth="9.140625" defaultRowHeight="15" x14ac:dyDescent="0.25"/>
  <cols>
    <col min="1" max="1" width="1.5703125" customWidth="1"/>
    <col min="2" max="2" width="29.5703125" customWidth="1"/>
    <col min="3" max="3" width="22.85546875" customWidth="1"/>
    <col min="4" max="4" width="21.85546875" customWidth="1"/>
    <col min="5" max="6" width="25.7109375" customWidth="1"/>
    <col min="7" max="7" width="17.140625" customWidth="1"/>
    <col min="8" max="8" width="16" customWidth="1"/>
    <col min="9" max="9" width="3" customWidth="1"/>
  </cols>
  <sheetData>
    <row r="1" spans="1:8" x14ac:dyDescent="0.25">
      <c r="A1" s="1"/>
      <c r="B1" s="1"/>
      <c r="C1" s="1"/>
      <c r="D1" s="1"/>
      <c r="E1" s="1"/>
      <c r="F1" s="1"/>
      <c r="G1" s="1"/>
      <c r="H1" s="1"/>
    </row>
    <row r="2" spans="1:8" ht="30" customHeight="1" x14ac:dyDescent="0.25">
      <c r="A2" s="1"/>
      <c r="B2" s="2" t="s">
        <v>0</v>
      </c>
      <c r="C2" s="3"/>
      <c r="D2" s="3"/>
      <c r="E2" s="3"/>
      <c r="F2" s="3"/>
      <c r="G2" s="3"/>
      <c r="H2" s="3"/>
    </row>
    <row r="3" spans="1:8" x14ac:dyDescent="0.25">
      <c r="A3" s="1"/>
      <c r="B3" s="3"/>
      <c r="C3" s="3"/>
      <c r="D3" s="3"/>
      <c r="E3" s="3"/>
      <c r="F3" s="3"/>
      <c r="G3" s="3"/>
      <c r="H3" s="3"/>
    </row>
    <row r="4" spans="1:8" ht="20.100000000000001" customHeight="1" x14ac:dyDescent="0.25">
      <c r="A4" s="1"/>
      <c r="B4" s="4" t="s">
        <v>1</v>
      </c>
      <c r="C4" s="3"/>
      <c r="D4" s="3"/>
      <c r="E4" s="3"/>
      <c r="F4" s="3"/>
      <c r="G4" s="3"/>
      <c r="H4" s="3"/>
    </row>
    <row r="5" spans="1:8" x14ac:dyDescent="0.25">
      <c r="A5" s="1"/>
      <c r="B5" s="1"/>
      <c r="C5" s="1"/>
      <c r="D5" s="1"/>
      <c r="E5" s="1"/>
      <c r="F5" s="1"/>
      <c r="G5" s="1"/>
      <c r="H5" s="1"/>
    </row>
    <row r="6" spans="1:8" ht="20.100000000000001" customHeight="1" x14ac:dyDescent="0.25">
      <c r="A6" s="1"/>
      <c r="B6" s="5" t="s">
        <v>2</v>
      </c>
      <c r="C6" s="6"/>
      <c r="D6" s="7" t="s">
        <v>3</v>
      </c>
      <c r="E6" s="8"/>
      <c r="F6" s="9" t="s">
        <v>4</v>
      </c>
      <c r="G6" s="10"/>
      <c r="H6" s="10"/>
    </row>
    <row r="7" spans="1:8" ht="27.95" customHeight="1" x14ac:dyDescent="0.35">
      <c r="A7" s="1"/>
      <c r="B7" s="11">
        <f>SUM(D14:D28)</f>
        <v>46400</v>
      </c>
      <c r="C7" s="12"/>
      <c r="D7" s="13">
        <f>SUM(C14:C28)-SUM(D14:D28)</f>
        <v>4900</v>
      </c>
      <c r="E7" s="14"/>
      <c r="F7" s="15">
        <f>SUM(F14:F28)</f>
        <v>845</v>
      </c>
      <c r="G7" s="16"/>
      <c r="H7" s="16"/>
    </row>
    <row r="8" spans="1:8" x14ac:dyDescent="0.25">
      <c r="A8" s="1"/>
      <c r="B8" s="1"/>
      <c r="C8" s="1"/>
      <c r="D8" s="1"/>
      <c r="E8" s="1"/>
      <c r="F8" s="1"/>
      <c r="G8" s="1"/>
      <c r="H8" s="1"/>
    </row>
    <row r="9" spans="1:8" ht="20.100000000000001" customHeight="1" x14ac:dyDescent="0.25">
      <c r="A9" s="1"/>
      <c r="B9" s="17" t="s">
        <v>5</v>
      </c>
      <c r="C9" s="18"/>
      <c r="D9" s="19" t="s">
        <v>6</v>
      </c>
      <c r="E9" s="20"/>
      <c r="F9" s="7" t="s">
        <v>7</v>
      </c>
      <c r="G9" s="8"/>
      <c r="H9" s="8"/>
    </row>
    <row r="10" spans="1:8" ht="27.95" customHeight="1" x14ac:dyDescent="0.35">
      <c r="A10" s="1"/>
      <c r="B10" s="21">
        <f>IFERROR(SUMPRODUCT(D14:D28,E14:E28)/SUM(D14:D28),0)</f>
        <v>8.0123060344827593E-2</v>
      </c>
      <c r="C10" s="22"/>
      <c r="D10" s="23">
        <f>COUNTIF(G14:G28,"Active")</f>
        <v>4</v>
      </c>
      <c r="E10" s="24"/>
      <c r="F10" s="25">
        <f>IFERROR((SUM(C14:C28)-SUM(D14:D28))/SUM(C14:C28),0)</f>
        <v>9.5516569200779722E-2</v>
      </c>
      <c r="G10" s="14"/>
      <c r="H10" s="14"/>
    </row>
    <row r="11" spans="1:8" x14ac:dyDescent="0.25">
      <c r="A11" s="1"/>
      <c r="B11" s="1"/>
      <c r="C11" s="1"/>
      <c r="D11" s="1"/>
      <c r="E11" s="1"/>
      <c r="F11" s="1"/>
      <c r="G11" s="1"/>
      <c r="H11" s="1"/>
    </row>
    <row r="12" spans="1:8" ht="24.95" customHeight="1" x14ac:dyDescent="0.25">
      <c r="A12" s="1"/>
      <c r="B12" s="26" t="s">
        <v>8</v>
      </c>
      <c r="C12" s="3"/>
      <c r="D12" s="3"/>
      <c r="E12" s="3"/>
      <c r="F12" s="3"/>
      <c r="G12" s="3"/>
      <c r="H12" s="3"/>
    </row>
    <row r="13" spans="1:8" ht="31.5" x14ac:dyDescent="0.25">
      <c r="A13" s="1"/>
      <c r="B13" s="44" t="s">
        <v>9</v>
      </c>
      <c r="C13" s="44" t="s">
        <v>10</v>
      </c>
      <c r="D13" s="44" t="s">
        <v>11</v>
      </c>
      <c r="E13" s="44" t="s">
        <v>12</v>
      </c>
      <c r="F13" s="44" t="s">
        <v>13</v>
      </c>
      <c r="G13" s="44" t="s">
        <v>14</v>
      </c>
      <c r="H13" s="1"/>
    </row>
    <row r="14" spans="1:8" x14ac:dyDescent="0.25">
      <c r="A14" s="1"/>
      <c r="B14" s="122" t="s">
        <v>15</v>
      </c>
      <c r="C14" s="123">
        <v>5200</v>
      </c>
      <c r="D14" s="123">
        <v>4800</v>
      </c>
      <c r="E14" s="124">
        <v>0.19989999999999999</v>
      </c>
      <c r="F14" s="123">
        <v>130</v>
      </c>
      <c r="G14" s="125" t="s">
        <v>16</v>
      </c>
      <c r="H14" s="1"/>
    </row>
    <row r="15" spans="1:8" x14ac:dyDescent="0.25">
      <c r="A15" s="1"/>
      <c r="B15" s="130" t="s">
        <v>17</v>
      </c>
      <c r="C15" s="131">
        <v>28000</v>
      </c>
      <c r="D15" s="131">
        <v>26500</v>
      </c>
      <c r="E15" s="132">
        <v>5.5E-2</v>
      </c>
      <c r="F15" s="131">
        <v>280</v>
      </c>
      <c r="G15" s="133" t="s">
        <v>16</v>
      </c>
      <c r="H15" s="1"/>
    </row>
    <row r="16" spans="1:8" x14ac:dyDescent="0.25">
      <c r="A16" s="1"/>
      <c r="B16" s="122" t="s">
        <v>18</v>
      </c>
      <c r="C16" s="123">
        <v>15000</v>
      </c>
      <c r="D16" s="123">
        <v>12000</v>
      </c>
      <c r="E16" s="124">
        <v>4.9000000000000002E-2</v>
      </c>
      <c r="F16" s="123">
        <v>350</v>
      </c>
      <c r="G16" s="125" t="s">
        <v>16</v>
      </c>
      <c r="H16" s="1"/>
    </row>
    <row r="17" spans="1:8" x14ac:dyDescent="0.25">
      <c r="A17" s="1"/>
      <c r="B17" s="130" t="s">
        <v>19</v>
      </c>
      <c r="C17" s="131">
        <v>3100</v>
      </c>
      <c r="D17" s="131">
        <v>3100</v>
      </c>
      <c r="E17" s="132">
        <v>0.22989999999999999</v>
      </c>
      <c r="F17" s="131">
        <v>85</v>
      </c>
      <c r="G17" s="133" t="s">
        <v>16</v>
      </c>
      <c r="H17" s="1"/>
    </row>
    <row r="18" spans="1:8" x14ac:dyDescent="0.25">
      <c r="A18" s="1"/>
      <c r="B18" s="122"/>
      <c r="C18" s="123"/>
      <c r="D18" s="123"/>
      <c r="E18" s="124"/>
      <c r="F18" s="123"/>
      <c r="G18" s="125"/>
      <c r="H18" s="1"/>
    </row>
    <row r="19" spans="1:8" x14ac:dyDescent="0.25">
      <c r="A19" s="1"/>
      <c r="B19" s="130"/>
      <c r="C19" s="131"/>
      <c r="D19" s="131"/>
      <c r="E19" s="132"/>
      <c r="F19" s="131"/>
      <c r="G19" s="133"/>
      <c r="H19" s="1"/>
    </row>
    <row r="20" spans="1:8" x14ac:dyDescent="0.25">
      <c r="A20" s="1"/>
      <c r="B20" s="122"/>
      <c r="C20" s="123"/>
      <c r="D20" s="123"/>
      <c r="E20" s="124"/>
      <c r="F20" s="123"/>
      <c r="G20" s="125"/>
      <c r="H20" s="1"/>
    </row>
    <row r="21" spans="1:8" x14ac:dyDescent="0.25">
      <c r="A21" s="1"/>
      <c r="B21" s="130"/>
      <c r="C21" s="131"/>
      <c r="D21" s="131"/>
      <c r="E21" s="132"/>
      <c r="F21" s="131"/>
      <c r="G21" s="133"/>
      <c r="H21" s="1"/>
    </row>
    <row r="22" spans="1:8" x14ac:dyDescent="0.25">
      <c r="A22" s="1"/>
      <c r="B22" s="122"/>
      <c r="C22" s="123"/>
      <c r="D22" s="123"/>
      <c r="E22" s="124"/>
      <c r="F22" s="123"/>
      <c r="G22" s="125"/>
      <c r="H22" s="1"/>
    </row>
    <row r="23" spans="1:8" x14ac:dyDescent="0.25">
      <c r="A23" s="1"/>
      <c r="B23" s="130"/>
      <c r="C23" s="131"/>
      <c r="D23" s="131"/>
      <c r="E23" s="132"/>
      <c r="F23" s="131"/>
      <c r="G23" s="133"/>
      <c r="H23" s="1"/>
    </row>
    <row r="24" spans="1:8" x14ac:dyDescent="0.25">
      <c r="A24" s="1"/>
      <c r="B24" s="122"/>
      <c r="C24" s="123"/>
      <c r="D24" s="123"/>
      <c r="E24" s="124"/>
      <c r="F24" s="123"/>
      <c r="G24" s="125"/>
      <c r="H24" s="1"/>
    </row>
    <row r="25" spans="1:8" x14ac:dyDescent="0.25">
      <c r="A25" s="1"/>
      <c r="B25" s="130"/>
      <c r="C25" s="131"/>
      <c r="D25" s="131"/>
      <c r="E25" s="132"/>
      <c r="F25" s="131"/>
      <c r="G25" s="133"/>
      <c r="H25" s="1"/>
    </row>
    <row r="26" spans="1:8" x14ac:dyDescent="0.25">
      <c r="A26" s="1"/>
      <c r="B26" s="122"/>
      <c r="C26" s="123"/>
      <c r="D26" s="123"/>
      <c r="E26" s="124"/>
      <c r="F26" s="123"/>
      <c r="G26" s="125"/>
      <c r="H26" s="1"/>
    </row>
    <row r="27" spans="1:8" x14ac:dyDescent="0.25">
      <c r="A27" s="1"/>
      <c r="B27" s="130"/>
      <c r="C27" s="131"/>
      <c r="D27" s="131"/>
      <c r="E27" s="132"/>
      <c r="F27" s="131"/>
      <c r="G27" s="133"/>
      <c r="H27" s="1"/>
    </row>
    <row r="28" spans="1:8" x14ac:dyDescent="0.25">
      <c r="A28" s="1"/>
      <c r="B28" s="126"/>
      <c r="C28" s="127"/>
      <c r="D28" s="127"/>
      <c r="E28" s="128"/>
      <c r="F28" s="127"/>
      <c r="G28" s="129"/>
      <c r="H28" s="1"/>
    </row>
    <row r="29" spans="1:8" x14ac:dyDescent="0.25">
      <c r="A29" s="1"/>
      <c r="B29" s="34" t="s">
        <v>20</v>
      </c>
      <c r="C29" s="45">
        <f>SUM(C14:C28)</f>
        <v>51300</v>
      </c>
      <c r="D29" s="45">
        <f>SUM(D14:D28)</f>
        <v>46400</v>
      </c>
      <c r="E29" s="46"/>
      <c r="F29" s="45">
        <f>SUM(F14:F28)</f>
        <v>845</v>
      </c>
      <c r="G29" s="46"/>
      <c r="H29" s="1"/>
    </row>
    <row r="30" spans="1:8" x14ac:dyDescent="0.25">
      <c r="A30" s="1"/>
      <c r="B30" s="1"/>
      <c r="C30" s="1"/>
      <c r="D30" s="1"/>
      <c r="E30" s="1"/>
      <c r="F30" s="1"/>
      <c r="G30" s="1"/>
      <c r="H30" s="1"/>
    </row>
    <row r="31" spans="1:8" ht="24.95" customHeight="1" x14ac:dyDescent="0.25">
      <c r="A31" s="1"/>
      <c r="B31" s="37" t="s">
        <v>21</v>
      </c>
      <c r="C31" s="38"/>
      <c r="D31" s="38"/>
      <c r="E31" s="38"/>
      <c r="F31" s="38"/>
      <c r="G31" s="38"/>
      <c r="H31" s="38"/>
    </row>
    <row r="32" spans="1:8" x14ac:dyDescent="0.25">
      <c r="A32" s="1"/>
      <c r="B32" s="39" t="s">
        <v>22</v>
      </c>
      <c r="C32" s="40"/>
      <c r="D32" s="40"/>
      <c r="E32" s="41">
        <f>SUM(C14:C28)</f>
        <v>51300</v>
      </c>
      <c r="F32" s="42"/>
      <c r="G32" s="42"/>
      <c r="H32" s="1"/>
    </row>
    <row r="33" spans="1:8" x14ac:dyDescent="0.25">
      <c r="A33" s="1"/>
      <c r="B33" s="39" t="s">
        <v>23</v>
      </c>
      <c r="C33" s="40"/>
      <c r="D33" s="40"/>
      <c r="E33" s="41">
        <f>SUM(D14:D28)</f>
        <v>46400</v>
      </c>
      <c r="F33" s="42"/>
      <c r="G33" s="42"/>
      <c r="H33" s="1"/>
    </row>
    <row r="34" spans="1:8" x14ac:dyDescent="0.25">
      <c r="A34" s="1"/>
      <c r="B34" s="39" t="s">
        <v>24</v>
      </c>
      <c r="C34" s="40"/>
      <c r="D34" s="40"/>
      <c r="E34" s="41">
        <f>SUM(C14:C28)-SUM(D14:D28)</f>
        <v>4900</v>
      </c>
      <c r="F34" s="42"/>
      <c r="G34" s="42"/>
      <c r="H34" s="1"/>
    </row>
    <row r="35" spans="1:8" x14ac:dyDescent="0.25">
      <c r="A35" s="1"/>
      <c r="B35" s="39" t="s">
        <v>25</v>
      </c>
      <c r="C35" s="40"/>
      <c r="D35" s="40"/>
      <c r="E35" s="43">
        <f>IFERROR((SUM(C14:C28)-SUM(D14:D28))/SUM(C14:C28),0)</f>
        <v>9.5516569200779722E-2</v>
      </c>
      <c r="F35" s="42"/>
      <c r="G35" s="42"/>
      <c r="H35" s="1"/>
    </row>
  </sheetData>
  <sheetProtection sheet="1" objects="1" scenarios="1"/>
  <mergeCells count="25">
    <mergeCell ref="B35:D35"/>
    <mergeCell ref="B9:C9"/>
    <mergeCell ref="D9:E9"/>
    <mergeCell ref="B6:C6"/>
    <mergeCell ref="F10:H10"/>
    <mergeCell ref="F6:H6"/>
    <mergeCell ref="E33:G33"/>
    <mergeCell ref="B29"/>
    <mergeCell ref="E35:G35"/>
    <mergeCell ref="F7:H7"/>
    <mergeCell ref="D10:E10"/>
    <mergeCell ref="B7:C7"/>
    <mergeCell ref="E34:G34"/>
    <mergeCell ref="B2:H3"/>
    <mergeCell ref="B34:D34"/>
    <mergeCell ref="D6:E6"/>
    <mergeCell ref="B4:H4"/>
    <mergeCell ref="F9:H9"/>
    <mergeCell ref="B31:H31"/>
    <mergeCell ref="B33:D33"/>
    <mergeCell ref="E32:G32"/>
    <mergeCell ref="D7:E7"/>
    <mergeCell ref="B32:D32"/>
    <mergeCell ref="B10:C10"/>
    <mergeCell ref="B12:H12"/>
  </mergeCells>
  <conditionalFormatting sqref="D14:D28">
    <cfRule type="dataBar" priority="3">
      <dataBar>
        <cfvo type="min"/>
        <cfvo type="max"/>
        <color rgb="FFE74C3C"/>
      </dataBar>
    </cfRule>
  </conditionalFormatting>
  <conditionalFormatting sqref="G14:G28">
    <cfRule type="cellIs" dxfId="3" priority="1" operator="equal">
      <formula>"Active"</formula>
    </cfRule>
    <cfRule type="cellIs" dxfId="2" priority="2" operator="equal">
      <formula>"Paid Off"</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498DB"/>
  </sheetPr>
  <dimension ref="A1:K44"/>
  <sheetViews>
    <sheetView workbookViewId="0">
      <pane ySplit="11" topLeftCell="A12" activePane="bottomLeft" state="frozen"/>
      <selection pane="bottomLeft" activeCell="H18" sqref="H18"/>
    </sheetView>
  </sheetViews>
  <sheetFormatPr baseColWidth="10" defaultColWidth="9.140625" defaultRowHeight="15" x14ac:dyDescent="0.25"/>
  <cols>
    <col min="1" max="1" width="1.5703125" customWidth="1"/>
    <col min="2" max="2" width="13.28515625" customWidth="1"/>
    <col min="3" max="3" width="24.7109375" customWidth="1"/>
    <col min="4" max="4" width="19" customWidth="1"/>
    <col min="5" max="5" width="17.140625" customWidth="1"/>
    <col min="6" max="8" width="20" customWidth="1"/>
    <col min="9" max="9" width="21.85546875" customWidth="1"/>
    <col min="10" max="10" width="21" customWidth="1"/>
    <col min="11" max="11" width="20" customWidth="1"/>
    <col min="12" max="12" width="3" customWidth="1"/>
  </cols>
  <sheetData>
    <row r="1" spans="1:11" x14ac:dyDescent="0.25">
      <c r="A1" s="1"/>
      <c r="B1" s="1"/>
      <c r="C1" s="1"/>
      <c r="D1" s="1"/>
      <c r="E1" s="1"/>
      <c r="F1" s="1"/>
      <c r="G1" s="1"/>
      <c r="H1" s="1"/>
      <c r="I1" s="1"/>
      <c r="J1" s="1"/>
      <c r="K1" s="1"/>
    </row>
    <row r="2" spans="1:11" ht="30" customHeight="1" x14ac:dyDescent="0.25">
      <c r="A2" s="1"/>
      <c r="B2" s="47" t="s">
        <v>26</v>
      </c>
      <c r="C2" s="48"/>
      <c r="D2" s="48"/>
      <c r="E2" s="48"/>
      <c r="F2" s="48"/>
      <c r="G2" s="48"/>
      <c r="H2" s="48"/>
      <c r="I2" s="48"/>
      <c r="J2" s="48"/>
      <c r="K2" s="48"/>
    </row>
    <row r="3" spans="1:11" x14ac:dyDescent="0.25">
      <c r="A3" s="1"/>
      <c r="B3" s="48"/>
      <c r="C3" s="48"/>
      <c r="D3" s="48"/>
      <c r="E3" s="48"/>
      <c r="F3" s="48"/>
      <c r="G3" s="48"/>
      <c r="H3" s="48"/>
      <c r="I3" s="48"/>
      <c r="J3" s="48"/>
      <c r="K3" s="48"/>
    </row>
    <row r="4" spans="1:11" x14ac:dyDescent="0.25">
      <c r="A4" s="1"/>
      <c r="B4" s="1"/>
      <c r="C4" s="1"/>
      <c r="D4" s="1"/>
      <c r="E4" s="1"/>
      <c r="F4" s="1"/>
      <c r="G4" s="1"/>
      <c r="H4" s="1"/>
      <c r="I4" s="1"/>
      <c r="J4" s="1"/>
      <c r="K4" s="1"/>
    </row>
    <row r="5" spans="1:11" ht="50.1" customHeight="1" x14ac:dyDescent="0.25">
      <c r="A5" s="1"/>
      <c r="B5" s="49" t="s">
        <v>27</v>
      </c>
      <c r="C5" s="50"/>
      <c r="D5" s="50"/>
      <c r="E5" s="50"/>
      <c r="F5" s="50"/>
      <c r="G5" s="50"/>
      <c r="H5" s="50"/>
      <c r="I5" s="50"/>
      <c r="J5" s="50"/>
      <c r="K5" s="50"/>
    </row>
    <row r="6" spans="1:11" x14ac:dyDescent="0.25">
      <c r="A6" s="1"/>
      <c r="B6" s="50"/>
      <c r="C6" s="50"/>
      <c r="D6" s="50"/>
      <c r="E6" s="50"/>
      <c r="F6" s="50"/>
      <c r="G6" s="50"/>
      <c r="H6" s="50"/>
      <c r="I6" s="50"/>
      <c r="J6" s="50"/>
      <c r="K6" s="50"/>
    </row>
    <row r="7" spans="1:11" x14ac:dyDescent="0.25">
      <c r="A7" s="1"/>
      <c r="B7" s="50"/>
      <c r="C7" s="50"/>
      <c r="D7" s="50"/>
      <c r="E7" s="50"/>
      <c r="F7" s="50"/>
      <c r="G7" s="50"/>
      <c r="H7" s="50"/>
      <c r="I7" s="50"/>
      <c r="J7" s="50"/>
      <c r="K7" s="50"/>
    </row>
    <row r="8" spans="1:11" x14ac:dyDescent="0.25">
      <c r="A8" s="1"/>
      <c r="B8" s="1"/>
      <c r="C8" s="1"/>
      <c r="D8" s="1"/>
      <c r="E8" s="1"/>
      <c r="F8" s="1"/>
      <c r="G8" s="1"/>
      <c r="H8" s="1"/>
      <c r="I8" s="1"/>
      <c r="J8" s="1"/>
      <c r="K8" s="1"/>
    </row>
    <row r="9" spans="1:11" ht="21.95" customHeight="1" x14ac:dyDescent="0.3">
      <c r="A9" s="1"/>
      <c r="B9" s="51" t="s">
        <v>28</v>
      </c>
      <c r="C9" s="52"/>
      <c r="D9" s="52"/>
      <c r="E9" s="134">
        <v>200</v>
      </c>
      <c r="F9" s="53" t="s">
        <v>29</v>
      </c>
      <c r="G9" s="54"/>
      <c r="H9" s="54"/>
      <c r="I9" s="54"/>
      <c r="J9" s="54"/>
      <c r="K9" s="54"/>
    </row>
    <row r="10" spans="1:11" x14ac:dyDescent="0.25">
      <c r="A10" s="1"/>
      <c r="B10" s="1"/>
      <c r="C10" s="1"/>
      <c r="D10" s="1"/>
      <c r="E10" s="1"/>
      <c r="F10" s="1"/>
      <c r="G10" s="1"/>
      <c r="H10" s="1"/>
      <c r="I10" s="1"/>
      <c r="J10" s="1"/>
      <c r="K10" s="1"/>
    </row>
    <row r="11" spans="1:11" ht="24.95" customHeight="1" x14ac:dyDescent="0.25">
      <c r="A11" s="1"/>
      <c r="B11" s="55" t="s">
        <v>30</v>
      </c>
      <c r="C11" s="48"/>
      <c r="D11" s="48"/>
      <c r="E11" s="48"/>
      <c r="F11" s="48"/>
      <c r="G11" s="48"/>
      <c r="H11" s="48"/>
      <c r="I11" s="48"/>
      <c r="J11" s="48"/>
      <c r="K11" s="48"/>
    </row>
    <row r="12" spans="1:11" ht="31.5" x14ac:dyDescent="0.25">
      <c r="A12" s="1"/>
      <c r="B12" s="27" t="s">
        <v>31</v>
      </c>
      <c r="C12" s="27" t="s">
        <v>9</v>
      </c>
      <c r="D12" s="27" t="s">
        <v>32</v>
      </c>
      <c r="E12" s="27" t="s">
        <v>33</v>
      </c>
      <c r="F12" s="27" t="s">
        <v>34</v>
      </c>
      <c r="G12" s="27" t="s">
        <v>35</v>
      </c>
      <c r="H12" s="27" t="s">
        <v>36</v>
      </c>
      <c r="I12" s="27" t="s">
        <v>37</v>
      </c>
      <c r="J12" s="27" t="s">
        <v>38</v>
      </c>
      <c r="K12" s="27" t="s">
        <v>39</v>
      </c>
    </row>
    <row r="13" spans="1:11" x14ac:dyDescent="0.25">
      <c r="A13" s="1"/>
      <c r="B13" s="30">
        <v>1</v>
      </c>
      <c r="C13" s="30" t="str" cm="1">
        <f t="array" ref="C13">IFERROR(INDEX(Dashboard!B$14:B$28,MATCH(SMALL(IF(Dashboard!D$14:D$28&gt;0,Dashboard!D$14:D$28,1E+99),1),Dashboard!D$14:D$28,0)),"")</f>
        <v>Credit Card B</v>
      </c>
      <c r="D13" s="28" cm="1">
        <f t="array" ref="D13">IFERROR(SMALL(IF(Dashboard!D$14:D$28&gt;0,Dashboard!D$14:D$28),1),"")</f>
        <v>3100</v>
      </c>
      <c r="E13" s="29" cm="1">
        <f t="array" ref="E13">IFERROR(INDEX(Dashboard!E$14:E$28,MATCH(SMALL(IF(Dashboard!D$14:D$28&gt;0,Dashboard!D$14:D$28,1E+99),1),Dashboard!D$14:D$28,0)),"")</f>
        <v>0.22989999999999999</v>
      </c>
      <c r="F13" s="28" cm="1">
        <f t="array" ref="F13">IFERROR(INDEX(Dashboard!F$14:F$28,MATCH(SMALL(IF(Dashboard!D$14:D$28&gt;0,Dashboard!D$14:D$28,1E+99),1),Dashboard!D$14:D$28,0)),"")</f>
        <v>85</v>
      </c>
      <c r="G13" s="28">
        <f>$E$9</f>
        <v>200</v>
      </c>
      <c r="H13" s="28">
        <f t="shared" ref="H13:H27" si="0">IFERROR(IF(D13="","",F13+G13),"")</f>
        <v>285</v>
      </c>
      <c r="I13" s="56">
        <f t="shared" ref="I13:I27" si="1">IFERROR(IF(D13="","",IF(E13=0,D13/H13,NPER(E13/12,-H13,D13))),"")</f>
        <v>12.314038637297426</v>
      </c>
      <c r="J13" s="57">
        <f t="shared" ref="J13:J27" ca="1" si="2">IFERROR(IF(D13="","",DATE(YEAR(TODAY()),MONTH(TODAY())+I13,DAY(TODAY()))),"")</f>
        <v>46441</v>
      </c>
      <c r="K13" s="28">
        <f t="shared" ref="K13:K27" si="3">IFERROR(IF(D13="","",(H13*I13)-D13),"")</f>
        <v>409.50101162976625</v>
      </c>
    </row>
    <row r="14" spans="1:11" x14ac:dyDescent="0.25">
      <c r="A14" s="1"/>
      <c r="B14" s="33">
        <v>2</v>
      </c>
      <c r="C14" s="33" t="str" cm="1">
        <f t="array" ref="C14">IFERROR(INDEX(Dashboard!B$14:B$28,MATCH(SMALL(IF(Dashboard!D$14:D$28&gt;0,Dashboard!D$14:D$28,1E+99),2),Dashboard!D$14:D$28,0)),"")</f>
        <v>Credit Card A</v>
      </c>
      <c r="D14" s="31" cm="1">
        <f t="array" ref="D14">IFERROR(SMALL(IF(Dashboard!D$14:D$28&gt;0,Dashboard!D$14:D$28),2),"")</f>
        <v>4800</v>
      </c>
      <c r="E14" s="32" cm="1">
        <f t="array" ref="E14">IFERROR(INDEX(Dashboard!E$14:E$28,MATCH(SMALL(IF(Dashboard!D$14:D$28&gt;0,Dashboard!D$14:D$28,1E+99),2),Dashboard!D$14:D$28,0)),"")</f>
        <v>0.19989999999999999</v>
      </c>
      <c r="F14" s="31" cm="1">
        <f t="array" ref="F14">IFERROR(INDEX(Dashboard!F$14:F$28,MATCH(SMALL(IF(Dashboard!D$14:D$28&gt;0,Dashboard!D$14:D$28,1E+99),2),Dashboard!D$14:D$28,0)),"")</f>
        <v>130</v>
      </c>
      <c r="G14" s="31">
        <f>IFERROR(IF(D14="","",SUM(H13:H13)-SUM(F13:F13)+$E$9),"")</f>
        <v>400</v>
      </c>
      <c r="H14" s="31">
        <f t="shared" si="0"/>
        <v>530</v>
      </c>
      <c r="I14" s="58">
        <f t="shared" si="1"/>
        <v>9.8988861156736618</v>
      </c>
      <c r="J14" s="59">
        <f t="shared" ca="1" si="2"/>
        <v>46349</v>
      </c>
      <c r="K14" s="31">
        <f t="shared" si="3"/>
        <v>446.40964130704106</v>
      </c>
    </row>
    <row r="15" spans="1:11" x14ac:dyDescent="0.25">
      <c r="A15" s="1"/>
      <c r="B15" s="30">
        <v>3</v>
      </c>
      <c r="C15" s="30" t="str" cm="1">
        <f t="array" ref="C15">IFERROR(INDEX(Dashboard!B$14:B$28,MATCH(SMALL(IF(Dashboard!D$14:D$28&gt;0,Dashboard!D$14:D$28,1E+99),3),Dashboard!D$14:D$28,0)),"")</f>
        <v>Car Loan</v>
      </c>
      <c r="D15" s="28" cm="1">
        <f t="array" ref="D15">IFERROR(SMALL(IF(Dashboard!D$14:D$28&gt;0,Dashboard!D$14:D$28),3),"")</f>
        <v>12000</v>
      </c>
      <c r="E15" s="29" cm="1">
        <f t="array" ref="E15">IFERROR(INDEX(Dashboard!E$14:E$28,MATCH(SMALL(IF(Dashboard!D$14:D$28&gt;0,Dashboard!D$14:D$28,1E+99),3),Dashboard!D$14:D$28,0)),"")</f>
        <v>4.9000000000000002E-2</v>
      </c>
      <c r="F15" s="28" cm="1">
        <f t="array" ref="F15">IFERROR(INDEX(Dashboard!F$14:F$28,MATCH(SMALL(IF(Dashboard!D$14:D$28&gt;0,Dashboard!D$14:D$28,1E+99),3),Dashboard!D$14:D$28,0)),"")</f>
        <v>350</v>
      </c>
      <c r="G15" s="28">
        <f>IFERROR(IF(D15="","",SUM(H13:H14)-SUM(F13:F14)+$E$9),"")</f>
        <v>800</v>
      </c>
      <c r="H15" s="28">
        <f t="shared" si="0"/>
        <v>1150</v>
      </c>
      <c r="I15" s="56">
        <f t="shared" si="1"/>
        <v>10.685369319325202</v>
      </c>
      <c r="J15" s="57">
        <f t="shared" ca="1" si="2"/>
        <v>46379</v>
      </c>
      <c r="K15" s="28">
        <f t="shared" si="3"/>
        <v>288.17471722398295</v>
      </c>
    </row>
    <row r="16" spans="1:11" x14ac:dyDescent="0.25">
      <c r="A16" s="1"/>
      <c r="B16" s="33">
        <v>4</v>
      </c>
      <c r="C16" s="33" t="str" cm="1">
        <f t="array" ref="C16">IFERROR(INDEX(Dashboard!B$14:B$28,MATCH(SMALL(IF(Dashboard!D$14:D$28&gt;0,Dashboard!D$14:D$28,1E+99),4),Dashboard!D$14:D$28,0)),"")</f>
        <v>Student Loan</v>
      </c>
      <c r="D16" s="31" cm="1">
        <f t="array" ref="D16">IFERROR(SMALL(IF(Dashboard!D$14:D$28&gt;0,Dashboard!D$14:D$28),4),"")</f>
        <v>26500</v>
      </c>
      <c r="E16" s="32" cm="1">
        <f t="array" ref="E16">IFERROR(INDEX(Dashboard!E$14:E$28,MATCH(SMALL(IF(Dashboard!D$14:D$28&gt;0,Dashboard!D$14:D$28,1E+99),4),Dashboard!D$14:D$28,0)),"")</f>
        <v>5.5E-2</v>
      </c>
      <c r="F16" s="31" cm="1">
        <f t="array" ref="F16">IFERROR(INDEX(Dashboard!F$14:F$28,MATCH(SMALL(IF(Dashboard!D$14:D$28&gt;0,Dashboard!D$14:D$28,1E+99),4),Dashboard!D$14:D$28,0)),"")</f>
        <v>280</v>
      </c>
      <c r="G16" s="31">
        <f>IFERROR(IF(D16="","",SUM(H13:H15)-SUM(F13:F15)+$E$9),"")</f>
        <v>1600</v>
      </c>
      <c r="H16" s="31">
        <f t="shared" si="0"/>
        <v>1880</v>
      </c>
      <c r="I16" s="58">
        <f t="shared" si="1"/>
        <v>14.605057405175449</v>
      </c>
      <c r="J16" s="59">
        <f t="shared" ca="1" si="2"/>
        <v>46500</v>
      </c>
      <c r="K16" s="31">
        <f t="shared" si="3"/>
        <v>957.50792172984438</v>
      </c>
    </row>
    <row r="17" spans="1:11" x14ac:dyDescent="0.25">
      <c r="A17" s="1"/>
      <c r="B17" s="30">
        <v>5</v>
      </c>
      <c r="C17" s="30" t="str" cm="1">
        <f t="array" ref="C17">IFERROR(INDEX(Dashboard!B$14:B$28,MATCH(SMALL(IF(Dashboard!D$14:D$28&gt;0,Dashboard!D$14:D$28,1E+99),5),Dashboard!D$14:D$28,0)),"")</f>
        <v/>
      </c>
      <c r="D17" s="28" t="str" cm="1">
        <f t="array" ref="D17">IFERROR(SMALL(IF(Dashboard!D$14:D$28&gt;0,Dashboard!D$14:D$28),5),"")</f>
        <v/>
      </c>
      <c r="E17" s="29" t="str" cm="1">
        <f t="array" ref="E17">IFERROR(INDEX(Dashboard!E$14:E$28,MATCH(SMALL(IF(Dashboard!D$14:D$28&gt;0,Dashboard!D$14:D$28,1E+99),5),Dashboard!D$14:D$28,0)),"")</f>
        <v/>
      </c>
      <c r="F17" s="28" t="str" cm="1">
        <f t="array" ref="F17">IFERROR(INDEX(Dashboard!F$14:F$28,MATCH(SMALL(IF(Dashboard!D$14:D$28&gt;0,Dashboard!D$14:D$28,1E+99),5),Dashboard!D$14:D$28,0)),"")</f>
        <v/>
      </c>
      <c r="G17" s="28" t="str">
        <f>IFERROR(IF(D17="","",SUM(H13:H16)-SUM(F13:F16)+$E$9),"")</f>
        <v/>
      </c>
      <c r="H17" s="28" t="str">
        <f t="shared" si="0"/>
        <v/>
      </c>
      <c r="I17" s="56" t="str">
        <f t="shared" si="1"/>
        <v/>
      </c>
      <c r="J17" s="57" t="str">
        <f t="shared" ca="1" si="2"/>
        <v/>
      </c>
      <c r="K17" s="28" t="str">
        <f t="shared" si="3"/>
        <v/>
      </c>
    </row>
    <row r="18" spans="1:11" x14ac:dyDescent="0.25">
      <c r="A18" s="1"/>
      <c r="B18" s="33">
        <v>6</v>
      </c>
      <c r="C18" s="33" t="str" cm="1">
        <f t="array" ref="C18">IFERROR(INDEX(Dashboard!B$14:B$28,MATCH(SMALL(IF(Dashboard!D$14:D$28&gt;0,Dashboard!D$14:D$28,1E+99),6),Dashboard!D$14:D$28,0)),"")</f>
        <v/>
      </c>
      <c r="D18" s="31" t="str" cm="1">
        <f t="array" ref="D18">IFERROR(SMALL(IF(Dashboard!D$14:D$28&gt;0,Dashboard!D$14:D$28),6),"")</f>
        <v/>
      </c>
      <c r="E18" s="32" t="str" cm="1">
        <f t="array" ref="E18">IFERROR(INDEX(Dashboard!E$14:E$28,MATCH(SMALL(IF(Dashboard!D$14:D$28&gt;0,Dashboard!D$14:D$28,1E+99),6),Dashboard!D$14:D$28,0)),"")</f>
        <v/>
      </c>
      <c r="F18" s="31" t="str" cm="1">
        <f t="array" ref="F18">IFERROR(INDEX(Dashboard!F$14:F$28,MATCH(SMALL(IF(Dashboard!D$14:D$28&gt;0,Dashboard!D$14:D$28,1E+99),6),Dashboard!D$14:D$28,0)),"")</f>
        <v/>
      </c>
      <c r="G18" s="31" t="str">
        <f>IFERROR(IF(D18="","",SUM(H13:H17)-SUM(F13:F17)+$E$9),"")</f>
        <v/>
      </c>
      <c r="H18" s="31" t="str">
        <f t="shared" si="0"/>
        <v/>
      </c>
      <c r="I18" s="58" t="str">
        <f t="shared" si="1"/>
        <v/>
      </c>
      <c r="J18" s="59" t="str">
        <f t="shared" ca="1" si="2"/>
        <v/>
      </c>
      <c r="K18" s="31" t="str">
        <f t="shared" si="3"/>
        <v/>
      </c>
    </row>
    <row r="19" spans="1:11" x14ac:dyDescent="0.25">
      <c r="A19" s="1"/>
      <c r="B19" s="30">
        <v>7</v>
      </c>
      <c r="C19" s="30" t="str" cm="1">
        <f t="array" ref="C19">IFERROR(INDEX(Dashboard!B$14:B$28,MATCH(SMALL(IF(Dashboard!D$14:D$28&gt;0,Dashboard!D$14:D$28,1E+99),7),Dashboard!D$14:D$28,0)),"")</f>
        <v/>
      </c>
      <c r="D19" s="28" t="str" cm="1">
        <f t="array" ref="D19">IFERROR(SMALL(IF(Dashboard!D$14:D$28&gt;0,Dashboard!D$14:D$28),7),"")</f>
        <v/>
      </c>
      <c r="E19" s="29" t="str" cm="1">
        <f t="array" ref="E19">IFERROR(INDEX(Dashboard!E$14:E$28,MATCH(SMALL(IF(Dashboard!D$14:D$28&gt;0,Dashboard!D$14:D$28,1E+99),7),Dashboard!D$14:D$28,0)),"")</f>
        <v/>
      </c>
      <c r="F19" s="28" t="str" cm="1">
        <f t="array" ref="F19">IFERROR(INDEX(Dashboard!F$14:F$28,MATCH(SMALL(IF(Dashboard!D$14:D$28&gt;0,Dashboard!D$14:D$28,1E+99),7),Dashboard!D$14:D$28,0)),"")</f>
        <v/>
      </c>
      <c r="G19" s="28" t="str">
        <f>IFERROR(IF(D19="","",SUM(H13:H18)-SUM(F13:F18)+$E$9),"")</f>
        <v/>
      </c>
      <c r="H19" s="28" t="str">
        <f t="shared" si="0"/>
        <v/>
      </c>
      <c r="I19" s="56" t="str">
        <f t="shared" si="1"/>
        <v/>
      </c>
      <c r="J19" s="57" t="str">
        <f t="shared" ca="1" si="2"/>
        <v/>
      </c>
      <c r="K19" s="28" t="str">
        <f t="shared" si="3"/>
        <v/>
      </c>
    </row>
    <row r="20" spans="1:11" x14ac:dyDescent="0.25">
      <c r="A20" s="1"/>
      <c r="B20" s="33">
        <v>8</v>
      </c>
      <c r="C20" s="33" t="str" cm="1">
        <f t="array" ref="C20">IFERROR(INDEX(Dashboard!B$14:B$28,MATCH(SMALL(IF(Dashboard!D$14:D$28&gt;0,Dashboard!D$14:D$28,1E+99),8),Dashboard!D$14:D$28,0)),"")</f>
        <v/>
      </c>
      <c r="D20" s="31" t="str" cm="1">
        <f t="array" ref="D20">IFERROR(SMALL(IF(Dashboard!D$14:D$28&gt;0,Dashboard!D$14:D$28),8),"")</f>
        <v/>
      </c>
      <c r="E20" s="32" t="str" cm="1">
        <f t="array" ref="E20">IFERROR(INDEX(Dashboard!E$14:E$28,MATCH(SMALL(IF(Dashboard!D$14:D$28&gt;0,Dashboard!D$14:D$28,1E+99),8),Dashboard!D$14:D$28,0)),"")</f>
        <v/>
      </c>
      <c r="F20" s="31" t="str" cm="1">
        <f t="array" ref="F20">IFERROR(INDEX(Dashboard!F$14:F$28,MATCH(SMALL(IF(Dashboard!D$14:D$28&gt;0,Dashboard!D$14:D$28,1E+99),8),Dashboard!D$14:D$28,0)),"")</f>
        <v/>
      </c>
      <c r="G20" s="31" t="str">
        <f>IFERROR(IF(D20="","",SUM(H13:H19)-SUM(F13:F19)+$E$9),"")</f>
        <v/>
      </c>
      <c r="H20" s="31" t="str">
        <f t="shared" si="0"/>
        <v/>
      </c>
      <c r="I20" s="58" t="str">
        <f t="shared" si="1"/>
        <v/>
      </c>
      <c r="J20" s="59" t="str">
        <f t="shared" ca="1" si="2"/>
        <v/>
      </c>
      <c r="K20" s="31" t="str">
        <f t="shared" si="3"/>
        <v/>
      </c>
    </row>
    <row r="21" spans="1:11" x14ac:dyDescent="0.25">
      <c r="A21" s="1"/>
      <c r="B21" s="30">
        <v>9</v>
      </c>
      <c r="C21" s="30" t="str" cm="1">
        <f t="array" ref="C21">IFERROR(INDEX(Dashboard!B$14:B$28,MATCH(SMALL(IF(Dashboard!D$14:D$28&gt;0,Dashboard!D$14:D$28,1E+99),9),Dashboard!D$14:D$28,0)),"")</f>
        <v/>
      </c>
      <c r="D21" s="28" t="str" cm="1">
        <f t="array" ref="D21">IFERROR(SMALL(IF(Dashboard!D$14:D$28&gt;0,Dashboard!D$14:D$28),9),"")</f>
        <v/>
      </c>
      <c r="E21" s="29" t="str" cm="1">
        <f t="array" ref="E21">IFERROR(INDEX(Dashboard!E$14:E$28,MATCH(SMALL(IF(Dashboard!D$14:D$28&gt;0,Dashboard!D$14:D$28,1E+99),9),Dashboard!D$14:D$28,0)),"")</f>
        <v/>
      </c>
      <c r="F21" s="28" t="str" cm="1">
        <f t="array" ref="F21">IFERROR(INDEX(Dashboard!F$14:F$28,MATCH(SMALL(IF(Dashboard!D$14:D$28&gt;0,Dashboard!D$14:D$28,1E+99),9),Dashboard!D$14:D$28,0)),"")</f>
        <v/>
      </c>
      <c r="G21" s="28" t="str">
        <f>IFERROR(IF(D21="","",SUM(H13:H20)-SUM(F13:F20)+$E$9),"")</f>
        <v/>
      </c>
      <c r="H21" s="28" t="str">
        <f t="shared" si="0"/>
        <v/>
      </c>
      <c r="I21" s="56" t="str">
        <f t="shared" si="1"/>
        <v/>
      </c>
      <c r="J21" s="57" t="str">
        <f t="shared" ca="1" si="2"/>
        <v/>
      </c>
      <c r="K21" s="28" t="str">
        <f t="shared" si="3"/>
        <v/>
      </c>
    </row>
    <row r="22" spans="1:11" x14ac:dyDescent="0.25">
      <c r="A22" s="1"/>
      <c r="B22" s="33">
        <v>10</v>
      </c>
      <c r="C22" s="33" t="str" cm="1">
        <f t="array" ref="C22">IFERROR(INDEX(Dashboard!B$14:B$28,MATCH(SMALL(IF(Dashboard!D$14:D$28&gt;0,Dashboard!D$14:D$28,1E+99),10),Dashboard!D$14:D$28,0)),"")</f>
        <v/>
      </c>
      <c r="D22" s="31" t="str" cm="1">
        <f t="array" ref="D22">IFERROR(SMALL(IF(Dashboard!D$14:D$28&gt;0,Dashboard!D$14:D$28),10),"")</f>
        <v/>
      </c>
      <c r="E22" s="32" t="str" cm="1">
        <f t="array" ref="E22">IFERROR(INDEX(Dashboard!E$14:E$28,MATCH(SMALL(IF(Dashboard!D$14:D$28&gt;0,Dashboard!D$14:D$28,1E+99),10),Dashboard!D$14:D$28,0)),"")</f>
        <v/>
      </c>
      <c r="F22" s="31" t="str" cm="1">
        <f t="array" ref="F22">IFERROR(INDEX(Dashboard!F$14:F$28,MATCH(SMALL(IF(Dashboard!D$14:D$28&gt;0,Dashboard!D$14:D$28,1E+99),10),Dashboard!D$14:D$28,0)),"")</f>
        <v/>
      </c>
      <c r="G22" s="31" t="str">
        <f>IFERROR(IF(D22="","",SUM(H13:H21)-SUM(F13:F21)+$E$9),"")</f>
        <v/>
      </c>
      <c r="H22" s="31" t="str">
        <f t="shared" si="0"/>
        <v/>
      </c>
      <c r="I22" s="58" t="str">
        <f t="shared" si="1"/>
        <v/>
      </c>
      <c r="J22" s="59" t="str">
        <f t="shared" ca="1" si="2"/>
        <v/>
      </c>
      <c r="K22" s="31" t="str">
        <f t="shared" si="3"/>
        <v/>
      </c>
    </row>
    <row r="23" spans="1:11" x14ac:dyDescent="0.25">
      <c r="A23" s="1"/>
      <c r="B23" s="30">
        <v>11</v>
      </c>
      <c r="C23" s="30" t="str" cm="1">
        <f t="array" ref="C23">IFERROR(INDEX(Dashboard!B$14:B$28,MATCH(SMALL(IF(Dashboard!D$14:D$28&gt;0,Dashboard!D$14:D$28,1E+99),11),Dashboard!D$14:D$28,0)),"")</f>
        <v/>
      </c>
      <c r="D23" s="28" t="str" cm="1">
        <f t="array" ref="D23">IFERROR(SMALL(IF(Dashboard!D$14:D$28&gt;0,Dashboard!D$14:D$28),11),"")</f>
        <v/>
      </c>
      <c r="E23" s="29" t="str" cm="1">
        <f t="array" ref="E23">IFERROR(INDEX(Dashboard!E$14:E$28,MATCH(SMALL(IF(Dashboard!D$14:D$28&gt;0,Dashboard!D$14:D$28,1E+99),11),Dashboard!D$14:D$28,0)),"")</f>
        <v/>
      </c>
      <c r="F23" s="28" t="str" cm="1">
        <f t="array" ref="F23">IFERROR(INDEX(Dashboard!F$14:F$28,MATCH(SMALL(IF(Dashboard!D$14:D$28&gt;0,Dashboard!D$14:D$28,1E+99),11),Dashboard!D$14:D$28,0)),"")</f>
        <v/>
      </c>
      <c r="G23" s="28" t="str">
        <f>IFERROR(IF(D23="","",SUM(H13:H22)-SUM(F13:F22)+$E$9),"")</f>
        <v/>
      </c>
      <c r="H23" s="28" t="str">
        <f t="shared" si="0"/>
        <v/>
      </c>
      <c r="I23" s="56" t="str">
        <f t="shared" si="1"/>
        <v/>
      </c>
      <c r="J23" s="57" t="str">
        <f t="shared" ca="1" si="2"/>
        <v/>
      </c>
      <c r="K23" s="28" t="str">
        <f t="shared" si="3"/>
        <v/>
      </c>
    </row>
    <row r="24" spans="1:11" x14ac:dyDescent="0.25">
      <c r="A24" s="1"/>
      <c r="B24" s="33">
        <v>12</v>
      </c>
      <c r="C24" s="33" t="str" cm="1">
        <f t="array" ref="C24">IFERROR(INDEX(Dashboard!B$14:B$28,MATCH(SMALL(IF(Dashboard!D$14:D$28&gt;0,Dashboard!D$14:D$28,1E+99),12),Dashboard!D$14:D$28,0)),"")</f>
        <v/>
      </c>
      <c r="D24" s="31" t="str" cm="1">
        <f t="array" ref="D24">IFERROR(SMALL(IF(Dashboard!D$14:D$28&gt;0,Dashboard!D$14:D$28),12),"")</f>
        <v/>
      </c>
      <c r="E24" s="32" t="str" cm="1">
        <f t="array" ref="E24">IFERROR(INDEX(Dashboard!E$14:E$28,MATCH(SMALL(IF(Dashboard!D$14:D$28&gt;0,Dashboard!D$14:D$28,1E+99),12),Dashboard!D$14:D$28,0)),"")</f>
        <v/>
      </c>
      <c r="F24" s="31" t="str" cm="1">
        <f t="array" ref="F24">IFERROR(INDEX(Dashboard!F$14:F$28,MATCH(SMALL(IF(Dashboard!D$14:D$28&gt;0,Dashboard!D$14:D$28,1E+99),12),Dashboard!D$14:D$28,0)),"")</f>
        <v/>
      </c>
      <c r="G24" s="31" t="str">
        <f>IFERROR(IF(D24="","",SUM(H13:H23)-SUM(F13:F23)+$E$9),"")</f>
        <v/>
      </c>
      <c r="H24" s="31" t="str">
        <f t="shared" si="0"/>
        <v/>
      </c>
      <c r="I24" s="58" t="str">
        <f t="shared" si="1"/>
        <v/>
      </c>
      <c r="J24" s="59" t="str">
        <f t="shared" ca="1" si="2"/>
        <v/>
      </c>
      <c r="K24" s="31" t="str">
        <f t="shared" si="3"/>
        <v/>
      </c>
    </row>
    <row r="25" spans="1:11" x14ac:dyDescent="0.25">
      <c r="A25" s="1"/>
      <c r="B25" s="30">
        <v>13</v>
      </c>
      <c r="C25" s="30" t="str" cm="1">
        <f t="array" ref="C25">IFERROR(INDEX(Dashboard!B$14:B$28,MATCH(SMALL(IF(Dashboard!D$14:D$28&gt;0,Dashboard!D$14:D$28,1E+99),13),Dashboard!D$14:D$28,0)),"")</f>
        <v/>
      </c>
      <c r="D25" s="28" t="str" cm="1">
        <f t="array" ref="D25">IFERROR(SMALL(IF(Dashboard!D$14:D$28&gt;0,Dashboard!D$14:D$28),13),"")</f>
        <v/>
      </c>
      <c r="E25" s="29" t="str" cm="1">
        <f t="array" ref="E25">IFERROR(INDEX(Dashboard!E$14:E$28,MATCH(SMALL(IF(Dashboard!D$14:D$28&gt;0,Dashboard!D$14:D$28,1E+99),13),Dashboard!D$14:D$28,0)),"")</f>
        <v/>
      </c>
      <c r="F25" s="28" t="str" cm="1">
        <f t="array" ref="F25">IFERROR(INDEX(Dashboard!F$14:F$28,MATCH(SMALL(IF(Dashboard!D$14:D$28&gt;0,Dashboard!D$14:D$28,1E+99),13),Dashboard!D$14:D$28,0)),"")</f>
        <v/>
      </c>
      <c r="G25" s="28" t="str">
        <f>IFERROR(IF(D25="","",SUM(H13:H24)-SUM(F13:F24)+$E$9),"")</f>
        <v/>
      </c>
      <c r="H25" s="28" t="str">
        <f t="shared" si="0"/>
        <v/>
      </c>
      <c r="I25" s="56" t="str">
        <f t="shared" si="1"/>
        <v/>
      </c>
      <c r="J25" s="57" t="str">
        <f t="shared" ca="1" si="2"/>
        <v/>
      </c>
      <c r="K25" s="28" t="str">
        <f t="shared" si="3"/>
        <v/>
      </c>
    </row>
    <row r="26" spans="1:11" x14ac:dyDescent="0.25">
      <c r="A26" s="1"/>
      <c r="B26" s="33">
        <v>14</v>
      </c>
      <c r="C26" s="33" t="str" cm="1">
        <f t="array" ref="C26">IFERROR(INDEX(Dashboard!B$14:B$28,MATCH(SMALL(IF(Dashboard!D$14:D$28&gt;0,Dashboard!D$14:D$28,1E+99),14),Dashboard!D$14:D$28,0)),"")</f>
        <v/>
      </c>
      <c r="D26" s="31" t="str" cm="1">
        <f t="array" ref="D26">IFERROR(SMALL(IF(Dashboard!D$14:D$28&gt;0,Dashboard!D$14:D$28),14),"")</f>
        <v/>
      </c>
      <c r="E26" s="32" t="str" cm="1">
        <f t="array" ref="E26">IFERROR(INDEX(Dashboard!E$14:E$28,MATCH(SMALL(IF(Dashboard!D$14:D$28&gt;0,Dashboard!D$14:D$28,1E+99),14),Dashboard!D$14:D$28,0)),"")</f>
        <v/>
      </c>
      <c r="F26" s="31" t="str" cm="1">
        <f t="array" ref="F26">IFERROR(INDEX(Dashboard!F$14:F$28,MATCH(SMALL(IF(Dashboard!D$14:D$28&gt;0,Dashboard!D$14:D$28,1E+99),14),Dashboard!D$14:D$28,0)),"")</f>
        <v/>
      </c>
      <c r="G26" s="31" t="str">
        <f>IFERROR(IF(D26="","",SUM(H13:H25)-SUM(F13:F25)+$E$9),"")</f>
        <v/>
      </c>
      <c r="H26" s="31" t="str">
        <f t="shared" si="0"/>
        <v/>
      </c>
      <c r="I26" s="58" t="str">
        <f t="shared" si="1"/>
        <v/>
      </c>
      <c r="J26" s="59" t="str">
        <f t="shared" ca="1" si="2"/>
        <v/>
      </c>
      <c r="K26" s="31" t="str">
        <f t="shared" si="3"/>
        <v/>
      </c>
    </row>
    <row r="27" spans="1:11" x14ac:dyDescent="0.25">
      <c r="A27" s="1"/>
      <c r="B27" s="30">
        <v>15</v>
      </c>
      <c r="C27" s="30" t="str" cm="1">
        <f t="array" ref="C27">IFERROR(INDEX(Dashboard!B$14:B$28,MATCH(SMALL(IF(Dashboard!D$14:D$28&gt;0,Dashboard!D$14:D$28,1E+99),15),Dashboard!D$14:D$28,0)),"")</f>
        <v/>
      </c>
      <c r="D27" s="28" t="str" cm="1">
        <f t="array" ref="D27">IFERROR(SMALL(IF(Dashboard!D$14:D$28&gt;0,Dashboard!D$14:D$28),15),"")</f>
        <v/>
      </c>
      <c r="E27" s="29" t="str" cm="1">
        <f t="array" ref="E27">IFERROR(INDEX(Dashboard!E$14:E$28,MATCH(SMALL(IF(Dashboard!D$14:D$28&gt;0,Dashboard!D$14:D$28,1E+99),15),Dashboard!D$14:D$28,0)),"")</f>
        <v/>
      </c>
      <c r="F27" s="28" t="str" cm="1">
        <f t="array" ref="F27">IFERROR(INDEX(Dashboard!F$14:F$28,MATCH(SMALL(IF(Dashboard!D$14:D$28&gt;0,Dashboard!D$14:D$28,1E+99),15),Dashboard!D$14:D$28,0)),"")</f>
        <v/>
      </c>
      <c r="G27" s="28" t="str">
        <f>IFERROR(IF(D27="","",SUM(H13:H26)-SUM(F13:F26)+$E$9),"")</f>
        <v/>
      </c>
      <c r="H27" s="28" t="str">
        <f t="shared" si="0"/>
        <v/>
      </c>
      <c r="I27" s="56" t="str">
        <f t="shared" si="1"/>
        <v/>
      </c>
      <c r="J27" s="57" t="str">
        <f t="shared" ca="1" si="2"/>
        <v/>
      </c>
      <c r="K27" s="28" t="str">
        <f t="shared" si="3"/>
        <v/>
      </c>
    </row>
    <row r="28" spans="1:11" x14ac:dyDescent="0.25">
      <c r="A28" s="1"/>
      <c r="B28" s="36" t="s">
        <v>20</v>
      </c>
      <c r="C28" s="36"/>
      <c r="D28" s="35">
        <f>SUM(D13:D27)</f>
        <v>46400</v>
      </c>
      <c r="E28" s="36"/>
      <c r="F28" s="35">
        <f>SUM(F13:F27)</f>
        <v>845</v>
      </c>
      <c r="G28" s="36"/>
      <c r="H28" s="36"/>
      <c r="I28" s="60">
        <f>MAX(I13:I27)</f>
        <v>14.605057405175449</v>
      </c>
      <c r="J28" s="36"/>
      <c r="K28" s="35">
        <f>SUM(K13:K27)</f>
        <v>2101.5932918906346</v>
      </c>
    </row>
    <row r="29" spans="1:11" x14ac:dyDescent="0.25">
      <c r="A29" s="1"/>
      <c r="B29" s="1"/>
      <c r="C29" s="1"/>
      <c r="D29" s="1"/>
      <c r="E29" s="1"/>
      <c r="F29" s="1"/>
      <c r="G29" s="1"/>
      <c r="H29" s="1"/>
      <c r="I29" s="1"/>
      <c r="J29" s="1"/>
      <c r="K29" s="1"/>
    </row>
    <row r="30" spans="1:11" ht="24.95" customHeight="1" x14ac:dyDescent="0.25">
      <c r="A30" s="1"/>
      <c r="B30" s="55" t="s">
        <v>40</v>
      </c>
      <c r="C30" s="48"/>
      <c r="D30" s="48"/>
      <c r="E30" s="48"/>
      <c r="F30" s="48"/>
      <c r="G30" s="48"/>
      <c r="H30" s="48"/>
      <c r="I30" s="48"/>
      <c r="J30" s="48"/>
      <c r="K30" s="48"/>
    </row>
    <row r="31" spans="1:11" x14ac:dyDescent="0.25">
      <c r="A31" s="1"/>
      <c r="B31" s="1"/>
      <c r="C31" s="1"/>
      <c r="D31" s="1"/>
      <c r="E31" s="1"/>
      <c r="F31" s="1"/>
      <c r="G31" s="1"/>
      <c r="H31" s="1"/>
      <c r="I31" s="1"/>
      <c r="J31" s="1"/>
      <c r="K31" s="1"/>
    </row>
    <row r="32" spans="1:11" x14ac:dyDescent="0.25">
      <c r="A32" s="1"/>
      <c r="B32" s="61" t="s">
        <v>41</v>
      </c>
      <c r="C32" s="50"/>
      <c r="D32" s="50"/>
      <c r="E32" s="62" t="str">
        <f>IF(C13="","",C13&amp;": "&amp;TEXT(H13,"$#,##0")&amp;"/mo  --&gt;  PAID OFF!")</f>
        <v>Credit Card B: $285,0/mo  --&gt;  PAID OFF!</v>
      </c>
      <c r="F32" s="63"/>
      <c r="G32" s="63"/>
      <c r="H32" s="63"/>
      <c r="I32" s="63"/>
      <c r="J32" s="63"/>
      <c r="K32" s="63"/>
    </row>
    <row r="33" spans="1:11" x14ac:dyDescent="0.25">
      <c r="A33" s="1"/>
      <c r="B33" s="1"/>
      <c r="C33" s="64" t="s">
        <v>42</v>
      </c>
      <c r="D33" s="54"/>
      <c r="E33" s="1"/>
      <c r="F33" s="1"/>
      <c r="G33" s="1"/>
      <c r="H33" s="1"/>
      <c r="I33" s="1"/>
      <c r="J33" s="1"/>
      <c r="K33" s="1"/>
    </row>
    <row r="34" spans="1:11" x14ac:dyDescent="0.25">
      <c r="A34" s="1"/>
      <c r="B34" s="61" t="s">
        <v>43</v>
      </c>
      <c r="C34" s="50"/>
      <c r="D34" s="50"/>
      <c r="E34" s="62" t="str">
        <f>IF(C14="","",C14&amp;": "&amp;TEXT(F14,"$#,##0")&amp;" min + "&amp;TEXT(H13,"$#,##0")&amp;" rollover = "&amp;TEXT(F14+H13,"$#,##0")&amp;"/mo")</f>
        <v>Credit Card A: $130,0 min + $285,0 rollover = $415,0/mo</v>
      </c>
      <c r="F34" s="63"/>
      <c r="G34" s="63"/>
      <c r="H34" s="63"/>
      <c r="I34" s="63"/>
      <c r="J34" s="63"/>
      <c r="K34" s="63"/>
    </row>
    <row r="35" spans="1:11" x14ac:dyDescent="0.25">
      <c r="A35" s="1"/>
      <c r="B35" s="1"/>
      <c r="C35" s="64" t="s">
        <v>42</v>
      </c>
      <c r="D35" s="54"/>
      <c r="E35" s="1"/>
      <c r="F35" s="1"/>
      <c r="G35" s="1"/>
      <c r="H35" s="1"/>
      <c r="I35" s="1"/>
      <c r="J35" s="1"/>
      <c r="K35" s="1"/>
    </row>
    <row r="36" spans="1:11" x14ac:dyDescent="0.25">
      <c r="A36" s="1"/>
      <c r="B36" s="61" t="s">
        <v>44</v>
      </c>
      <c r="C36" s="50"/>
      <c r="D36" s="50"/>
      <c r="E36" s="62" t="str">
        <f>IF(C15="","",C15&amp;": "&amp;TEXT(F15,"$#,##0")&amp;" min + "&amp;TEXT(F14+H13,"$#,##0")&amp;" rollover = "&amp;TEXT(F15+F14+H13,"$#,##0")&amp;"/mo")</f>
        <v>Car Loan: $350,0 min + $415,0 rollover = $765,0/mo</v>
      </c>
      <c r="F36" s="63"/>
      <c r="G36" s="63"/>
      <c r="H36" s="63"/>
      <c r="I36" s="63"/>
      <c r="J36" s="63"/>
      <c r="K36" s="63"/>
    </row>
    <row r="37" spans="1:11" x14ac:dyDescent="0.25">
      <c r="A37" s="1"/>
      <c r="B37" s="1"/>
      <c r="C37" s="64" t="s">
        <v>42</v>
      </c>
      <c r="D37" s="54"/>
      <c r="E37" s="1"/>
      <c r="F37" s="1"/>
      <c r="G37" s="1"/>
      <c r="H37" s="1"/>
      <c r="I37" s="1"/>
      <c r="J37" s="1"/>
      <c r="K37" s="1"/>
    </row>
    <row r="38" spans="1:11" x14ac:dyDescent="0.25">
      <c r="A38" s="1"/>
      <c r="B38" s="61" t="s">
        <v>45</v>
      </c>
      <c r="C38" s="50"/>
      <c r="D38" s="50"/>
      <c r="E38" s="62" t="str">
        <f>IF(C16="","","Each payoff makes the next payment BIGGER and FASTER!")</f>
        <v>Each payoff makes the next payment BIGGER and FASTER!</v>
      </c>
      <c r="F38" s="63"/>
      <c r="G38" s="63"/>
      <c r="H38" s="63"/>
      <c r="I38" s="63"/>
      <c r="J38" s="63"/>
      <c r="K38" s="63"/>
    </row>
    <row r="39" spans="1:11" x14ac:dyDescent="0.25">
      <c r="A39" s="1"/>
      <c r="B39" s="1"/>
      <c r="C39" s="1"/>
      <c r="D39" s="1"/>
      <c r="E39" s="1"/>
      <c r="F39" s="1"/>
      <c r="G39" s="1"/>
      <c r="H39" s="1"/>
      <c r="I39" s="1"/>
      <c r="J39" s="1"/>
      <c r="K39" s="1"/>
    </row>
    <row r="40" spans="1:11" x14ac:dyDescent="0.25">
      <c r="A40" s="1"/>
      <c r="B40" s="1"/>
      <c r="C40" s="1"/>
      <c r="D40" s="1"/>
      <c r="E40" s="1"/>
      <c r="F40" s="1"/>
      <c r="G40" s="1"/>
      <c r="H40" s="1"/>
      <c r="I40" s="1"/>
      <c r="J40" s="1"/>
      <c r="K40" s="1"/>
    </row>
    <row r="41" spans="1:11" ht="24.95" customHeight="1" x14ac:dyDescent="0.25">
      <c r="A41" s="1"/>
      <c r="B41" s="65" t="s">
        <v>46</v>
      </c>
      <c r="C41" s="38"/>
      <c r="D41" s="38"/>
      <c r="E41" s="38"/>
      <c r="F41" s="38"/>
      <c r="G41" s="38"/>
      <c r="H41" s="38"/>
      <c r="I41" s="38"/>
      <c r="J41" s="38"/>
      <c r="K41" s="38"/>
    </row>
    <row r="42" spans="1:11" x14ac:dyDescent="0.25">
      <c r="A42" s="1"/>
      <c r="B42" s="66" t="s">
        <v>47</v>
      </c>
      <c r="C42" s="67"/>
      <c r="D42" s="67"/>
      <c r="E42" s="67"/>
      <c r="F42" s="68">
        <f>MAX(I13:I27)</f>
        <v>14.605057405175449</v>
      </c>
      <c r="G42" s="42"/>
      <c r="H42" s="42"/>
      <c r="I42" s="1"/>
      <c r="J42" s="1"/>
      <c r="K42" s="1"/>
    </row>
    <row r="43" spans="1:11" x14ac:dyDescent="0.25">
      <c r="A43" s="1"/>
      <c r="B43" s="66" t="s">
        <v>48</v>
      </c>
      <c r="C43" s="67"/>
      <c r="D43" s="67"/>
      <c r="E43" s="67"/>
      <c r="F43" s="69">
        <f>SUM(K13:K27)</f>
        <v>2101.5932918906346</v>
      </c>
      <c r="G43" s="42"/>
      <c r="H43" s="42"/>
      <c r="I43" s="1"/>
      <c r="J43" s="1"/>
      <c r="K43" s="1"/>
    </row>
    <row r="44" spans="1:11" x14ac:dyDescent="0.25">
      <c r="A44" s="1"/>
      <c r="B44" s="66" t="s">
        <v>49</v>
      </c>
      <c r="C44" s="67"/>
      <c r="D44" s="67"/>
      <c r="E44" s="67"/>
      <c r="F44" s="69">
        <f>SUM(D13:D27)+SUM(K13:K27)</f>
        <v>48501.593291890633</v>
      </c>
      <c r="G44" s="42"/>
      <c r="H44" s="42"/>
      <c r="I44" s="1"/>
      <c r="J44" s="1"/>
      <c r="K44" s="1"/>
    </row>
  </sheetData>
  <sheetProtection sheet="1" objects="1" scenarios="1"/>
  <mergeCells count="24">
    <mergeCell ref="F44:H44"/>
    <mergeCell ref="B42:E42"/>
    <mergeCell ref="B11:K11"/>
    <mergeCell ref="B44:E44"/>
    <mergeCell ref="E34:K34"/>
    <mergeCell ref="C37:D37"/>
    <mergeCell ref="F43:H43"/>
    <mergeCell ref="F9:K9"/>
    <mergeCell ref="B36:D36"/>
    <mergeCell ref="B43:E43"/>
    <mergeCell ref="B32:D32"/>
    <mergeCell ref="E38:K38"/>
    <mergeCell ref="B2:K3"/>
    <mergeCell ref="B38:D38"/>
    <mergeCell ref="C35:D35"/>
    <mergeCell ref="B34:D34"/>
    <mergeCell ref="B5:K7"/>
    <mergeCell ref="B9:D9"/>
    <mergeCell ref="E36:K36"/>
    <mergeCell ref="F42:H42"/>
    <mergeCell ref="C33:D33"/>
    <mergeCell ref="B30:K30"/>
    <mergeCell ref="E32:K32"/>
    <mergeCell ref="B41:K4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4C3C"/>
  </sheetPr>
  <dimension ref="A1:K44"/>
  <sheetViews>
    <sheetView workbookViewId="0">
      <pane ySplit="11" topLeftCell="A12" activePane="bottomLeft" state="frozen"/>
      <selection pane="bottomLeft"/>
    </sheetView>
  </sheetViews>
  <sheetFormatPr baseColWidth="10" defaultColWidth="9.140625" defaultRowHeight="15" x14ac:dyDescent="0.25"/>
  <cols>
    <col min="1" max="1" width="1.5703125" customWidth="1"/>
    <col min="2" max="2" width="13.28515625" customWidth="1"/>
    <col min="3" max="3" width="24.7109375" customWidth="1"/>
    <col min="4" max="4" width="19" customWidth="1"/>
    <col min="5" max="5" width="17.140625" customWidth="1"/>
    <col min="6" max="8" width="20" customWidth="1"/>
    <col min="9" max="9" width="21.85546875" customWidth="1"/>
    <col min="10" max="10" width="21" customWidth="1"/>
    <col min="11" max="11" width="20" customWidth="1"/>
    <col min="12" max="12" width="3" customWidth="1"/>
  </cols>
  <sheetData>
    <row r="1" spans="1:11" x14ac:dyDescent="0.25">
      <c r="A1" s="1"/>
      <c r="B1" s="1"/>
      <c r="C1" s="1"/>
      <c r="D1" s="1"/>
      <c r="E1" s="1"/>
      <c r="F1" s="1"/>
      <c r="G1" s="1"/>
      <c r="H1" s="1"/>
      <c r="I1" s="1"/>
      <c r="J1" s="1"/>
      <c r="K1" s="1"/>
    </row>
    <row r="2" spans="1:11" ht="30" customHeight="1" x14ac:dyDescent="0.25">
      <c r="A2" s="1"/>
      <c r="B2" s="70" t="s">
        <v>50</v>
      </c>
      <c r="C2" s="71"/>
      <c r="D2" s="71"/>
      <c r="E2" s="71"/>
      <c r="F2" s="71"/>
      <c r="G2" s="71"/>
      <c r="H2" s="71"/>
      <c r="I2" s="71"/>
      <c r="J2" s="71"/>
      <c r="K2" s="71"/>
    </row>
    <row r="3" spans="1:11" x14ac:dyDescent="0.25">
      <c r="A3" s="1"/>
      <c r="B3" s="71"/>
      <c r="C3" s="71"/>
      <c r="D3" s="71"/>
      <c r="E3" s="71"/>
      <c r="F3" s="71"/>
      <c r="G3" s="71"/>
      <c r="H3" s="71"/>
      <c r="I3" s="71"/>
      <c r="J3" s="71"/>
      <c r="K3" s="71"/>
    </row>
    <row r="4" spans="1:11" x14ac:dyDescent="0.25">
      <c r="A4" s="1"/>
      <c r="B4" s="1"/>
      <c r="C4" s="1"/>
      <c r="D4" s="1"/>
      <c r="E4" s="1"/>
      <c r="F4" s="1"/>
      <c r="G4" s="1"/>
      <c r="H4" s="1"/>
      <c r="I4" s="1"/>
      <c r="J4" s="1"/>
      <c r="K4" s="1"/>
    </row>
    <row r="5" spans="1:11" ht="50.1" customHeight="1" x14ac:dyDescent="0.25">
      <c r="A5" s="1"/>
      <c r="B5" s="72" t="s">
        <v>51</v>
      </c>
      <c r="C5" s="73"/>
      <c r="D5" s="73"/>
      <c r="E5" s="73"/>
      <c r="F5" s="73"/>
      <c r="G5" s="73"/>
      <c r="H5" s="73"/>
      <c r="I5" s="73"/>
      <c r="J5" s="73"/>
      <c r="K5" s="73"/>
    </row>
    <row r="6" spans="1:11" x14ac:dyDescent="0.25">
      <c r="A6" s="1"/>
      <c r="B6" s="73"/>
      <c r="C6" s="73"/>
      <c r="D6" s="73"/>
      <c r="E6" s="73"/>
      <c r="F6" s="73"/>
      <c r="G6" s="73"/>
      <c r="H6" s="73"/>
      <c r="I6" s="73"/>
      <c r="J6" s="73"/>
      <c r="K6" s="73"/>
    </row>
    <row r="7" spans="1:11" x14ac:dyDescent="0.25">
      <c r="A7" s="1"/>
      <c r="B7" s="73"/>
      <c r="C7" s="73"/>
      <c r="D7" s="73"/>
      <c r="E7" s="73"/>
      <c r="F7" s="73"/>
      <c r="G7" s="73"/>
      <c r="H7" s="73"/>
      <c r="I7" s="73"/>
      <c r="J7" s="73"/>
      <c r="K7" s="73"/>
    </row>
    <row r="8" spans="1:11" x14ac:dyDescent="0.25">
      <c r="A8" s="1"/>
      <c r="B8" s="1"/>
      <c r="C8" s="1"/>
      <c r="D8" s="1"/>
      <c r="E8" s="1"/>
      <c r="F8" s="1"/>
      <c r="G8" s="1"/>
      <c r="H8" s="1"/>
      <c r="I8" s="1"/>
      <c r="J8" s="1"/>
      <c r="K8" s="1"/>
    </row>
    <row r="9" spans="1:11" ht="21.95" customHeight="1" x14ac:dyDescent="0.3">
      <c r="A9" s="1"/>
      <c r="B9" s="51" t="s">
        <v>28</v>
      </c>
      <c r="C9" s="52"/>
      <c r="D9" s="52"/>
      <c r="E9" s="135">
        <v>200</v>
      </c>
      <c r="F9" s="53" t="s">
        <v>29</v>
      </c>
      <c r="G9" s="54"/>
      <c r="H9" s="54"/>
      <c r="I9" s="54"/>
      <c r="J9" s="54"/>
      <c r="K9" s="54"/>
    </row>
    <row r="10" spans="1:11" x14ac:dyDescent="0.25">
      <c r="A10" s="1"/>
      <c r="B10" s="1"/>
      <c r="C10" s="1"/>
      <c r="D10" s="1"/>
      <c r="E10" s="1"/>
      <c r="F10" s="1"/>
      <c r="G10" s="1"/>
      <c r="H10" s="1"/>
      <c r="I10" s="1"/>
      <c r="J10" s="1"/>
      <c r="K10" s="1"/>
    </row>
    <row r="11" spans="1:11" ht="24.95" customHeight="1" x14ac:dyDescent="0.25">
      <c r="A11" s="1"/>
      <c r="B11" s="74" t="s">
        <v>52</v>
      </c>
      <c r="C11" s="71"/>
      <c r="D11" s="71"/>
      <c r="E11" s="71"/>
      <c r="F11" s="71"/>
      <c r="G11" s="71"/>
      <c r="H11" s="71"/>
      <c r="I11" s="71"/>
      <c r="J11" s="71"/>
      <c r="K11" s="71"/>
    </row>
    <row r="12" spans="1:11" ht="31.5" x14ac:dyDescent="0.25">
      <c r="A12" s="1"/>
      <c r="B12" s="75" t="s">
        <v>31</v>
      </c>
      <c r="C12" s="75" t="s">
        <v>9</v>
      </c>
      <c r="D12" s="75" t="s">
        <v>32</v>
      </c>
      <c r="E12" s="75" t="s">
        <v>33</v>
      </c>
      <c r="F12" s="75" t="s">
        <v>34</v>
      </c>
      <c r="G12" s="75" t="s">
        <v>35</v>
      </c>
      <c r="H12" s="75" t="s">
        <v>36</v>
      </c>
      <c r="I12" s="75" t="s">
        <v>37</v>
      </c>
      <c r="J12" s="75" t="s">
        <v>38</v>
      </c>
      <c r="K12" s="75" t="s">
        <v>39</v>
      </c>
    </row>
    <row r="13" spans="1:11" x14ac:dyDescent="0.25">
      <c r="A13" s="1"/>
      <c r="B13" s="30">
        <v>1</v>
      </c>
      <c r="C13" s="30" t="str" cm="1">
        <f t="array" ref="C13">IFERROR(INDEX(Dashboard!B$14:B$28,MATCH(LARGE(IF(Dashboard!D$14:D$28&gt;0,Dashboard!E$14:E$28,-1),1),Dashboard!E$14:E$28,0)),"")</f>
        <v>Credit Card B</v>
      </c>
      <c r="D13" s="28" cm="1">
        <f t="array" ref="D13">IFERROR(INDEX(Dashboard!D$14:D$28,MATCH(LARGE(IF(Dashboard!D$14:D$28&gt;0,Dashboard!E$14:E$28,-1),1),Dashboard!E$14:E$28,0)),"")</f>
        <v>3100</v>
      </c>
      <c r="E13" s="29" cm="1">
        <f t="array" ref="E13">IFERROR(LARGE(IF(Dashboard!D$14:D$28&gt;0,Dashboard!E$14:E$28),1),"")</f>
        <v>0.22989999999999999</v>
      </c>
      <c r="F13" s="28" cm="1">
        <f t="array" ref="F13">IFERROR(INDEX(Dashboard!F$14:F$28,MATCH(LARGE(IF(Dashboard!D$14:D$28&gt;0,Dashboard!E$14:E$28,-1),1),Dashboard!E$14:E$28,0)),"")</f>
        <v>85</v>
      </c>
      <c r="G13" s="28">
        <f>$E$9</f>
        <v>200</v>
      </c>
      <c r="H13" s="28">
        <f t="shared" ref="H13:H27" si="0">IFERROR(IF(D13="","",F13+G13),"")</f>
        <v>285</v>
      </c>
      <c r="I13" s="56">
        <f t="shared" ref="I13:I27" si="1">IFERROR(IF(D13="","",IF(E13=0,D13/H13,NPER(E13/12,-H13,D13))),"")</f>
        <v>12.314038637297426</v>
      </c>
      <c r="J13" s="57">
        <f t="shared" ref="J13:J27" ca="1" si="2">IFERROR(IF(D13="","",DATE(YEAR(TODAY()),MONTH(TODAY())+I13,DAY(TODAY()))),"")</f>
        <v>46441</v>
      </c>
      <c r="K13" s="28">
        <f t="shared" ref="K13:K27" si="3">IFERROR(IF(D13="","",(H13*I13)-D13),"")</f>
        <v>409.50101162976625</v>
      </c>
    </row>
    <row r="14" spans="1:11" x14ac:dyDescent="0.25">
      <c r="A14" s="1"/>
      <c r="B14" s="33">
        <v>2</v>
      </c>
      <c r="C14" s="33" t="str" cm="1">
        <f t="array" ref="C14">IFERROR(INDEX(Dashboard!B$14:B$28,MATCH(LARGE(IF(Dashboard!D$14:D$28&gt;0,Dashboard!E$14:E$28,-1),2),Dashboard!E$14:E$28,0)),"")</f>
        <v>Credit Card A</v>
      </c>
      <c r="D14" s="31" cm="1">
        <f t="array" ref="D14">IFERROR(INDEX(Dashboard!D$14:D$28,MATCH(LARGE(IF(Dashboard!D$14:D$28&gt;0,Dashboard!E$14:E$28,-1),2),Dashboard!E$14:E$28,0)),"")</f>
        <v>4800</v>
      </c>
      <c r="E14" s="32" cm="1">
        <f t="array" ref="E14">IFERROR(LARGE(IF(Dashboard!D$14:D$28&gt;0,Dashboard!E$14:E$28),2),"")</f>
        <v>0.19989999999999999</v>
      </c>
      <c r="F14" s="31" cm="1">
        <f t="array" ref="F14">IFERROR(INDEX(Dashboard!F$14:F$28,MATCH(LARGE(IF(Dashboard!D$14:D$28&gt;0,Dashboard!E$14:E$28,-1),2),Dashboard!E$14:E$28,0)),"")</f>
        <v>130</v>
      </c>
      <c r="G14" s="31">
        <f>IFERROR(IF(D14="","",SUM(H13:H13)-SUM(F13:F13)+$E$9),"")</f>
        <v>400</v>
      </c>
      <c r="H14" s="31">
        <f t="shared" si="0"/>
        <v>530</v>
      </c>
      <c r="I14" s="58">
        <f t="shared" si="1"/>
        <v>9.8988861156736618</v>
      </c>
      <c r="J14" s="59">
        <f t="shared" ca="1" si="2"/>
        <v>46349</v>
      </c>
      <c r="K14" s="31">
        <f t="shared" si="3"/>
        <v>446.40964130704106</v>
      </c>
    </row>
    <row r="15" spans="1:11" x14ac:dyDescent="0.25">
      <c r="A15" s="1"/>
      <c r="B15" s="30">
        <v>3</v>
      </c>
      <c r="C15" s="30" t="str" cm="1">
        <f t="array" ref="C15">IFERROR(INDEX(Dashboard!B$14:B$28,MATCH(LARGE(IF(Dashboard!D$14:D$28&gt;0,Dashboard!E$14:E$28,-1),3),Dashboard!E$14:E$28,0)),"")</f>
        <v>Student Loan</v>
      </c>
      <c r="D15" s="28" cm="1">
        <f t="array" ref="D15">IFERROR(INDEX(Dashboard!D$14:D$28,MATCH(LARGE(IF(Dashboard!D$14:D$28&gt;0,Dashboard!E$14:E$28,-1),3),Dashboard!E$14:E$28,0)),"")</f>
        <v>26500</v>
      </c>
      <c r="E15" s="29" cm="1">
        <f t="array" ref="E15">IFERROR(LARGE(IF(Dashboard!D$14:D$28&gt;0,Dashboard!E$14:E$28),3),"")</f>
        <v>5.5E-2</v>
      </c>
      <c r="F15" s="28" cm="1">
        <f t="array" ref="F15">IFERROR(INDEX(Dashboard!F$14:F$28,MATCH(LARGE(IF(Dashboard!D$14:D$28&gt;0,Dashboard!E$14:E$28,-1),3),Dashboard!E$14:E$28,0)),"")</f>
        <v>280</v>
      </c>
      <c r="G15" s="28">
        <f>IFERROR(IF(D15="","",SUM(H13:H14)-SUM(F13:F14)+$E$9),"")</f>
        <v>800</v>
      </c>
      <c r="H15" s="28">
        <f t="shared" si="0"/>
        <v>1080</v>
      </c>
      <c r="I15" s="56">
        <f t="shared" si="1"/>
        <v>26.089414444827415</v>
      </c>
      <c r="J15" s="57">
        <f t="shared" ca="1" si="2"/>
        <v>46866</v>
      </c>
      <c r="K15" s="28">
        <f t="shared" si="3"/>
        <v>1676.5676004136076</v>
      </c>
    </row>
    <row r="16" spans="1:11" x14ac:dyDescent="0.25">
      <c r="A16" s="1"/>
      <c r="B16" s="33">
        <v>4</v>
      </c>
      <c r="C16" s="33" t="str" cm="1">
        <f t="array" ref="C16">IFERROR(INDEX(Dashboard!B$14:B$28,MATCH(LARGE(IF(Dashboard!D$14:D$28&gt;0,Dashboard!E$14:E$28,-1),4),Dashboard!E$14:E$28,0)),"")</f>
        <v>Car Loan</v>
      </c>
      <c r="D16" s="31" cm="1">
        <f t="array" ref="D16">IFERROR(INDEX(Dashboard!D$14:D$28,MATCH(LARGE(IF(Dashboard!D$14:D$28&gt;0,Dashboard!E$14:E$28,-1),4),Dashboard!E$14:E$28,0)),"")</f>
        <v>12000</v>
      </c>
      <c r="E16" s="32" cm="1">
        <f t="array" ref="E16">IFERROR(LARGE(IF(Dashboard!D$14:D$28&gt;0,Dashboard!E$14:E$28),4),"")</f>
        <v>4.9000000000000002E-2</v>
      </c>
      <c r="F16" s="31" cm="1">
        <f t="array" ref="F16">IFERROR(INDEX(Dashboard!F$14:F$28,MATCH(LARGE(IF(Dashboard!D$14:D$28&gt;0,Dashboard!E$14:E$28,-1),4),Dashboard!E$14:E$28,0)),"")</f>
        <v>350</v>
      </c>
      <c r="G16" s="31">
        <f>IFERROR(IF(D16="","",SUM(H13:H15)-SUM(F13:F15)+$E$9),"")</f>
        <v>1600</v>
      </c>
      <c r="H16" s="31">
        <f t="shared" si="0"/>
        <v>1950</v>
      </c>
      <c r="I16" s="58">
        <f t="shared" si="1"/>
        <v>6.2451998660567165</v>
      </c>
      <c r="J16" s="59">
        <f t="shared" ca="1" si="2"/>
        <v>46257</v>
      </c>
      <c r="K16" s="31">
        <f t="shared" si="3"/>
        <v>178.13973881059792</v>
      </c>
    </row>
    <row r="17" spans="1:11" x14ac:dyDescent="0.25">
      <c r="A17" s="1"/>
      <c r="B17" s="30">
        <v>5</v>
      </c>
      <c r="C17" s="30" t="str" cm="1">
        <f t="array" ref="C17">IFERROR(INDEX(Dashboard!B$14:B$28,MATCH(LARGE(IF(Dashboard!D$14:D$28&gt;0,Dashboard!E$14:E$28,-1),5),Dashboard!E$14:E$28,0)),"")</f>
        <v/>
      </c>
      <c r="D17" s="28" t="str" cm="1">
        <f t="array" ref="D17">IFERROR(INDEX(Dashboard!D$14:D$28,MATCH(LARGE(IF(Dashboard!D$14:D$28&gt;0,Dashboard!E$14:E$28,-1),5),Dashboard!E$14:E$28,0)),"")</f>
        <v/>
      </c>
      <c r="E17" s="29" t="str" cm="1">
        <f t="array" ref="E17">IFERROR(LARGE(IF(Dashboard!D$14:D$28&gt;0,Dashboard!E$14:E$28),5),"")</f>
        <v/>
      </c>
      <c r="F17" s="28" t="str" cm="1">
        <f t="array" ref="F17">IFERROR(INDEX(Dashboard!F$14:F$28,MATCH(LARGE(IF(Dashboard!D$14:D$28&gt;0,Dashboard!E$14:E$28,-1),5),Dashboard!E$14:E$28,0)),"")</f>
        <v/>
      </c>
      <c r="G17" s="28" t="str">
        <f>IFERROR(IF(D17="","",SUM(H13:H16)-SUM(F13:F16)+$E$9),"")</f>
        <v/>
      </c>
      <c r="H17" s="28" t="str">
        <f t="shared" si="0"/>
        <v/>
      </c>
      <c r="I17" s="56" t="str">
        <f t="shared" si="1"/>
        <v/>
      </c>
      <c r="J17" s="57" t="str">
        <f t="shared" ca="1" si="2"/>
        <v/>
      </c>
      <c r="K17" s="28" t="str">
        <f t="shared" si="3"/>
        <v/>
      </c>
    </row>
    <row r="18" spans="1:11" x14ac:dyDescent="0.25">
      <c r="A18" s="1"/>
      <c r="B18" s="33">
        <v>6</v>
      </c>
      <c r="C18" s="33" t="str" cm="1">
        <f t="array" ref="C18">IFERROR(INDEX(Dashboard!B$14:B$28,MATCH(LARGE(IF(Dashboard!D$14:D$28&gt;0,Dashboard!E$14:E$28,-1),6),Dashboard!E$14:E$28,0)),"")</f>
        <v/>
      </c>
      <c r="D18" s="31" t="str" cm="1">
        <f t="array" ref="D18">IFERROR(INDEX(Dashboard!D$14:D$28,MATCH(LARGE(IF(Dashboard!D$14:D$28&gt;0,Dashboard!E$14:E$28,-1),6),Dashboard!E$14:E$28,0)),"")</f>
        <v/>
      </c>
      <c r="E18" s="32" t="str" cm="1">
        <f t="array" ref="E18">IFERROR(LARGE(IF(Dashboard!D$14:D$28&gt;0,Dashboard!E$14:E$28),6),"")</f>
        <v/>
      </c>
      <c r="F18" s="31" t="str" cm="1">
        <f t="array" ref="F18">IFERROR(INDEX(Dashboard!F$14:F$28,MATCH(LARGE(IF(Dashboard!D$14:D$28&gt;0,Dashboard!E$14:E$28,-1),6),Dashboard!E$14:E$28,0)),"")</f>
        <v/>
      </c>
      <c r="G18" s="31" t="str">
        <f>IFERROR(IF(D18="","",SUM(H13:H17)-SUM(F13:F17)+$E$9),"")</f>
        <v/>
      </c>
      <c r="H18" s="31" t="str">
        <f t="shared" si="0"/>
        <v/>
      </c>
      <c r="I18" s="58" t="str">
        <f t="shared" si="1"/>
        <v/>
      </c>
      <c r="J18" s="59" t="str">
        <f t="shared" ca="1" si="2"/>
        <v/>
      </c>
      <c r="K18" s="31" t="str">
        <f t="shared" si="3"/>
        <v/>
      </c>
    </row>
    <row r="19" spans="1:11" x14ac:dyDescent="0.25">
      <c r="A19" s="1"/>
      <c r="B19" s="30">
        <v>7</v>
      </c>
      <c r="C19" s="30" t="str" cm="1">
        <f t="array" ref="C19">IFERROR(INDEX(Dashboard!B$14:B$28,MATCH(LARGE(IF(Dashboard!D$14:D$28&gt;0,Dashboard!E$14:E$28,-1),7),Dashboard!E$14:E$28,0)),"")</f>
        <v/>
      </c>
      <c r="D19" s="28" t="str" cm="1">
        <f t="array" ref="D19">IFERROR(INDEX(Dashboard!D$14:D$28,MATCH(LARGE(IF(Dashboard!D$14:D$28&gt;0,Dashboard!E$14:E$28,-1),7),Dashboard!E$14:E$28,0)),"")</f>
        <v/>
      </c>
      <c r="E19" s="29" t="str" cm="1">
        <f t="array" ref="E19">IFERROR(LARGE(IF(Dashboard!D$14:D$28&gt;0,Dashboard!E$14:E$28),7),"")</f>
        <v/>
      </c>
      <c r="F19" s="28" t="str" cm="1">
        <f t="array" ref="F19">IFERROR(INDEX(Dashboard!F$14:F$28,MATCH(LARGE(IF(Dashboard!D$14:D$28&gt;0,Dashboard!E$14:E$28,-1),7),Dashboard!E$14:E$28,0)),"")</f>
        <v/>
      </c>
      <c r="G19" s="28" t="str">
        <f>IFERROR(IF(D19="","",SUM(H13:H18)-SUM(F13:F18)+$E$9),"")</f>
        <v/>
      </c>
      <c r="H19" s="28" t="str">
        <f t="shared" si="0"/>
        <v/>
      </c>
      <c r="I19" s="56" t="str">
        <f t="shared" si="1"/>
        <v/>
      </c>
      <c r="J19" s="57" t="str">
        <f t="shared" ca="1" si="2"/>
        <v/>
      </c>
      <c r="K19" s="28" t="str">
        <f t="shared" si="3"/>
        <v/>
      </c>
    </row>
    <row r="20" spans="1:11" x14ac:dyDescent="0.25">
      <c r="A20" s="1"/>
      <c r="B20" s="33">
        <v>8</v>
      </c>
      <c r="C20" s="33" t="str" cm="1">
        <f t="array" ref="C20">IFERROR(INDEX(Dashboard!B$14:B$28,MATCH(LARGE(IF(Dashboard!D$14:D$28&gt;0,Dashboard!E$14:E$28,-1),8),Dashboard!E$14:E$28,0)),"")</f>
        <v/>
      </c>
      <c r="D20" s="31" t="str" cm="1">
        <f t="array" ref="D20">IFERROR(INDEX(Dashboard!D$14:D$28,MATCH(LARGE(IF(Dashboard!D$14:D$28&gt;0,Dashboard!E$14:E$28,-1),8),Dashboard!E$14:E$28,0)),"")</f>
        <v/>
      </c>
      <c r="E20" s="32" t="str" cm="1">
        <f t="array" ref="E20">IFERROR(LARGE(IF(Dashboard!D$14:D$28&gt;0,Dashboard!E$14:E$28),8),"")</f>
        <v/>
      </c>
      <c r="F20" s="31" t="str" cm="1">
        <f t="array" ref="F20">IFERROR(INDEX(Dashboard!F$14:F$28,MATCH(LARGE(IF(Dashboard!D$14:D$28&gt;0,Dashboard!E$14:E$28,-1),8),Dashboard!E$14:E$28,0)),"")</f>
        <v/>
      </c>
      <c r="G20" s="31" t="str">
        <f>IFERROR(IF(D20="","",SUM(H13:H19)-SUM(F13:F19)+$E$9),"")</f>
        <v/>
      </c>
      <c r="H20" s="31" t="str">
        <f t="shared" si="0"/>
        <v/>
      </c>
      <c r="I20" s="58" t="str">
        <f t="shared" si="1"/>
        <v/>
      </c>
      <c r="J20" s="59" t="str">
        <f t="shared" ca="1" si="2"/>
        <v/>
      </c>
      <c r="K20" s="31" t="str">
        <f t="shared" si="3"/>
        <v/>
      </c>
    </row>
    <row r="21" spans="1:11" x14ac:dyDescent="0.25">
      <c r="A21" s="1"/>
      <c r="B21" s="30">
        <v>9</v>
      </c>
      <c r="C21" s="30" t="str" cm="1">
        <f t="array" ref="C21">IFERROR(INDEX(Dashboard!B$14:B$28,MATCH(LARGE(IF(Dashboard!D$14:D$28&gt;0,Dashboard!E$14:E$28,-1),9),Dashboard!E$14:E$28,0)),"")</f>
        <v/>
      </c>
      <c r="D21" s="28" t="str" cm="1">
        <f t="array" ref="D21">IFERROR(INDEX(Dashboard!D$14:D$28,MATCH(LARGE(IF(Dashboard!D$14:D$28&gt;0,Dashboard!E$14:E$28,-1),9),Dashboard!E$14:E$28,0)),"")</f>
        <v/>
      </c>
      <c r="E21" s="29" t="str" cm="1">
        <f t="array" ref="E21">IFERROR(LARGE(IF(Dashboard!D$14:D$28&gt;0,Dashboard!E$14:E$28),9),"")</f>
        <v/>
      </c>
      <c r="F21" s="28" t="str" cm="1">
        <f t="array" ref="F21">IFERROR(INDEX(Dashboard!F$14:F$28,MATCH(LARGE(IF(Dashboard!D$14:D$28&gt;0,Dashboard!E$14:E$28,-1),9),Dashboard!E$14:E$28,0)),"")</f>
        <v/>
      </c>
      <c r="G21" s="28" t="str">
        <f>IFERROR(IF(D21="","",SUM(H13:H20)-SUM(F13:F20)+$E$9),"")</f>
        <v/>
      </c>
      <c r="H21" s="28" t="str">
        <f t="shared" si="0"/>
        <v/>
      </c>
      <c r="I21" s="56" t="str">
        <f t="shared" si="1"/>
        <v/>
      </c>
      <c r="J21" s="57" t="str">
        <f t="shared" ca="1" si="2"/>
        <v/>
      </c>
      <c r="K21" s="28" t="str">
        <f t="shared" si="3"/>
        <v/>
      </c>
    </row>
    <row r="22" spans="1:11" x14ac:dyDescent="0.25">
      <c r="A22" s="1"/>
      <c r="B22" s="33">
        <v>10</v>
      </c>
      <c r="C22" s="33" t="str" cm="1">
        <f t="array" ref="C22">IFERROR(INDEX(Dashboard!B$14:B$28,MATCH(LARGE(IF(Dashboard!D$14:D$28&gt;0,Dashboard!E$14:E$28,-1),10),Dashboard!E$14:E$28,0)),"")</f>
        <v/>
      </c>
      <c r="D22" s="31" t="str" cm="1">
        <f t="array" ref="D22">IFERROR(INDEX(Dashboard!D$14:D$28,MATCH(LARGE(IF(Dashboard!D$14:D$28&gt;0,Dashboard!E$14:E$28,-1),10),Dashboard!E$14:E$28,0)),"")</f>
        <v/>
      </c>
      <c r="E22" s="32" t="str" cm="1">
        <f t="array" ref="E22">IFERROR(LARGE(IF(Dashboard!D$14:D$28&gt;0,Dashboard!E$14:E$28),10),"")</f>
        <v/>
      </c>
      <c r="F22" s="31" t="str" cm="1">
        <f t="array" ref="F22">IFERROR(INDEX(Dashboard!F$14:F$28,MATCH(LARGE(IF(Dashboard!D$14:D$28&gt;0,Dashboard!E$14:E$28,-1),10),Dashboard!E$14:E$28,0)),"")</f>
        <v/>
      </c>
      <c r="G22" s="31" t="str">
        <f>IFERROR(IF(D22="","",SUM(H13:H21)-SUM(F13:F21)+$E$9),"")</f>
        <v/>
      </c>
      <c r="H22" s="31" t="str">
        <f t="shared" si="0"/>
        <v/>
      </c>
      <c r="I22" s="58" t="str">
        <f t="shared" si="1"/>
        <v/>
      </c>
      <c r="J22" s="59" t="str">
        <f t="shared" ca="1" si="2"/>
        <v/>
      </c>
      <c r="K22" s="31" t="str">
        <f t="shared" si="3"/>
        <v/>
      </c>
    </row>
    <row r="23" spans="1:11" x14ac:dyDescent="0.25">
      <c r="A23" s="1"/>
      <c r="B23" s="30">
        <v>11</v>
      </c>
      <c r="C23" s="30" t="str" cm="1">
        <f t="array" ref="C23">IFERROR(INDEX(Dashboard!B$14:B$28,MATCH(LARGE(IF(Dashboard!D$14:D$28&gt;0,Dashboard!E$14:E$28,-1),11),Dashboard!E$14:E$28,0)),"")</f>
        <v/>
      </c>
      <c r="D23" s="28" t="str" cm="1">
        <f t="array" ref="D23">IFERROR(INDEX(Dashboard!D$14:D$28,MATCH(LARGE(IF(Dashboard!D$14:D$28&gt;0,Dashboard!E$14:E$28,-1),11),Dashboard!E$14:E$28,0)),"")</f>
        <v/>
      </c>
      <c r="E23" s="29" t="str" cm="1">
        <f t="array" ref="E23">IFERROR(LARGE(IF(Dashboard!D$14:D$28&gt;0,Dashboard!E$14:E$28),11),"")</f>
        <v/>
      </c>
      <c r="F23" s="28" t="str" cm="1">
        <f t="array" ref="F23">IFERROR(INDEX(Dashboard!F$14:F$28,MATCH(LARGE(IF(Dashboard!D$14:D$28&gt;0,Dashboard!E$14:E$28,-1),11),Dashboard!E$14:E$28,0)),"")</f>
        <v/>
      </c>
      <c r="G23" s="28" t="str">
        <f>IFERROR(IF(D23="","",SUM(H13:H22)-SUM(F13:F22)+$E$9),"")</f>
        <v/>
      </c>
      <c r="H23" s="28" t="str">
        <f t="shared" si="0"/>
        <v/>
      </c>
      <c r="I23" s="56" t="str">
        <f t="shared" si="1"/>
        <v/>
      </c>
      <c r="J23" s="57" t="str">
        <f t="shared" ca="1" si="2"/>
        <v/>
      </c>
      <c r="K23" s="28" t="str">
        <f t="shared" si="3"/>
        <v/>
      </c>
    </row>
    <row r="24" spans="1:11" x14ac:dyDescent="0.25">
      <c r="A24" s="1"/>
      <c r="B24" s="33">
        <v>12</v>
      </c>
      <c r="C24" s="33" t="str" cm="1">
        <f t="array" ref="C24">IFERROR(INDEX(Dashboard!B$14:B$28,MATCH(LARGE(IF(Dashboard!D$14:D$28&gt;0,Dashboard!E$14:E$28,-1),12),Dashboard!E$14:E$28,0)),"")</f>
        <v/>
      </c>
      <c r="D24" s="31" t="str" cm="1">
        <f t="array" ref="D24">IFERROR(INDEX(Dashboard!D$14:D$28,MATCH(LARGE(IF(Dashboard!D$14:D$28&gt;0,Dashboard!E$14:E$28,-1),12),Dashboard!E$14:E$28,0)),"")</f>
        <v/>
      </c>
      <c r="E24" s="32" t="str" cm="1">
        <f t="array" ref="E24">IFERROR(LARGE(IF(Dashboard!D$14:D$28&gt;0,Dashboard!E$14:E$28),12),"")</f>
        <v/>
      </c>
      <c r="F24" s="31" t="str" cm="1">
        <f t="array" ref="F24">IFERROR(INDEX(Dashboard!F$14:F$28,MATCH(LARGE(IF(Dashboard!D$14:D$28&gt;0,Dashboard!E$14:E$28,-1),12),Dashboard!E$14:E$28,0)),"")</f>
        <v/>
      </c>
      <c r="G24" s="31" t="str">
        <f>IFERROR(IF(D24="","",SUM(H13:H23)-SUM(F13:F23)+$E$9),"")</f>
        <v/>
      </c>
      <c r="H24" s="31" t="str">
        <f t="shared" si="0"/>
        <v/>
      </c>
      <c r="I24" s="58" t="str">
        <f t="shared" si="1"/>
        <v/>
      </c>
      <c r="J24" s="59" t="str">
        <f t="shared" ca="1" si="2"/>
        <v/>
      </c>
      <c r="K24" s="31" t="str">
        <f t="shared" si="3"/>
        <v/>
      </c>
    </row>
    <row r="25" spans="1:11" x14ac:dyDescent="0.25">
      <c r="A25" s="1"/>
      <c r="B25" s="30">
        <v>13</v>
      </c>
      <c r="C25" s="30" t="str" cm="1">
        <f t="array" ref="C25">IFERROR(INDEX(Dashboard!B$14:B$28,MATCH(LARGE(IF(Dashboard!D$14:D$28&gt;0,Dashboard!E$14:E$28,-1),13),Dashboard!E$14:E$28,0)),"")</f>
        <v/>
      </c>
      <c r="D25" s="28" t="str" cm="1">
        <f t="array" ref="D25">IFERROR(INDEX(Dashboard!D$14:D$28,MATCH(LARGE(IF(Dashboard!D$14:D$28&gt;0,Dashboard!E$14:E$28,-1),13),Dashboard!E$14:E$28,0)),"")</f>
        <v/>
      </c>
      <c r="E25" s="29" t="str" cm="1">
        <f t="array" ref="E25">IFERROR(LARGE(IF(Dashboard!D$14:D$28&gt;0,Dashboard!E$14:E$28),13),"")</f>
        <v/>
      </c>
      <c r="F25" s="28" t="str" cm="1">
        <f t="array" ref="F25">IFERROR(INDEX(Dashboard!F$14:F$28,MATCH(LARGE(IF(Dashboard!D$14:D$28&gt;0,Dashboard!E$14:E$28,-1),13),Dashboard!E$14:E$28,0)),"")</f>
        <v/>
      </c>
      <c r="G25" s="28" t="str">
        <f>IFERROR(IF(D25="","",SUM(H13:H24)-SUM(F13:F24)+$E$9),"")</f>
        <v/>
      </c>
      <c r="H25" s="28" t="str">
        <f t="shared" si="0"/>
        <v/>
      </c>
      <c r="I25" s="56" t="str">
        <f t="shared" si="1"/>
        <v/>
      </c>
      <c r="J25" s="57" t="str">
        <f t="shared" ca="1" si="2"/>
        <v/>
      </c>
      <c r="K25" s="28" t="str">
        <f t="shared" si="3"/>
        <v/>
      </c>
    </row>
    <row r="26" spans="1:11" x14ac:dyDescent="0.25">
      <c r="A26" s="1"/>
      <c r="B26" s="33">
        <v>14</v>
      </c>
      <c r="C26" s="33" t="str" cm="1">
        <f t="array" ref="C26">IFERROR(INDEX(Dashboard!B$14:B$28,MATCH(LARGE(IF(Dashboard!D$14:D$28&gt;0,Dashboard!E$14:E$28,-1),14),Dashboard!E$14:E$28,0)),"")</f>
        <v/>
      </c>
      <c r="D26" s="31" t="str" cm="1">
        <f t="array" ref="D26">IFERROR(INDEX(Dashboard!D$14:D$28,MATCH(LARGE(IF(Dashboard!D$14:D$28&gt;0,Dashboard!E$14:E$28,-1),14),Dashboard!E$14:E$28,0)),"")</f>
        <v/>
      </c>
      <c r="E26" s="32" t="str" cm="1">
        <f t="array" ref="E26">IFERROR(LARGE(IF(Dashboard!D$14:D$28&gt;0,Dashboard!E$14:E$28),14),"")</f>
        <v/>
      </c>
      <c r="F26" s="31" t="str" cm="1">
        <f t="array" ref="F26">IFERROR(INDEX(Dashboard!F$14:F$28,MATCH(LARGE(IF(Dashboard!D$14:D$28&gt;0,Dashboard!E$14:E$28,-1),14),Dashboard!E$14:E$28,0)),"")</f>
        <v/>
      </c>
      <c r="G26" s="31" t="str">
        <f>IFERROR(IF(D26="","",SUM(H13:H25)-SUM(F13:F25)+$E$9),"")</f>
        <v/>
      </c>
      <c r="H26" s="31" t="str">
        <f t="shared" si="0"/>
        <v/>
      </c>
      <c r="I26" s="58" t="str">
        <f t="shared" si="1"/>
        <v/>
      </c>
      <c r="J26" s="59" t="str">
        <f t="shared" ca="1" si="2"/>
        <v/>
      </c>
      <c r="K26" s="31" t="str">
        <f t="shared" si="3"/>
        <v/>
      </c>
    </row>
    <row r="27" spans="1:11" x14ac:dyDescent="0.25">
      <c r="A27" s="1"/>
      <c r="B27" s="30">
        <v>15</v>
      </c>
      <c r="C27" s="30" t="str" cm="1">
        <f t="array" ref="C27">IFERROR(INDEX(Dashboard!B$14:B$28,MATCH(LARGE(IF(Dashboard!D$14:D$28&gt;0,Dashboard!E$14:E$28,-1),15),Dashboard!E$14:E$28,0)),"")</f>
        <v/>
      </c>
      <c r="D27" s="28" t="str" cm="1">
        <f t="array" ref="D27">IFERROR(INDEX(Dashboard!D$14:D$28,MATCH(LARGE(IF(Dashboard!D$14:D$28&gt;0,Dashboard!E$14:E$28,-1),15),Dashboard!E$14:E$28,0)),"")</f>
        <v/>
      </c>
      <c r="E27" s="29" t="str" cm="1">
        <f t="array" ref="E27">IFERROR(LARGE(IF(Dashboard!D$14:D$28&gt;0,Dashboard!E$14:E$28),15),"")</f>
        <v/>
      </c>
      <c r="F27" s="28" t="str" cm="1">
        <f t="array" ref="F27">IFERROR(INDEX(Dashboard!F$14:F$28,MATCH(LARGE(IF(Dashboard!D$14:D$28&gt;0,Dashboard!E$14:E$28,-1),15),Dashboard!E$14:E$28,0)),"")</f>
        <v/>
      </c>
      <c r="G27" s="28" t="str">
        <f>IFERROR(IF(D27="","",SUM(H13:H26)-SUM(F13:F26)+$E$9),"")</f>
        <v/>
      </c>
      <c r="H27" s="28" t="str">
        <f t="shared" si="0"/>
        <v/>
      </c>
      <c r="I27" s="56" t="str">
        <f t="shared" si="1"/>
        <v/>
      </c>
      <c r="J27" s="57" t="str">
        <f t="shared" ca="1" si="2"/>
        <v/>
      </c>
      <c r="K27" s="28" t="str">
        <f t="shared" si="3"/>
        <v/>
      </c>
    </row>
    <row r="28" spans="1:11" x14ac:dyDescent="0.25">
      <c r="A28" s="1"/>
      <c r="B28" s="76" t="s">
        <v>20</v>
      </c>
      <c r="C28" s="76"/>
      <c r="D28" s="77">
        <f>SUM(D13:D27)</f>
        <v>46400</v>
      </c>
      <c r="E28" s="76"/>
      <c r="F28" s="77">
        <f>SUM(F13:F27)</f>
        <v>845</v>
      </c>
      <c r="G28" s="76"/>
      <c r="H28" s="76"/>
      <c r="I28" s="78">
        <f>MAX(I13:I27)</f>
        <v>26.089414444827415</v>
      </c>
      <c r="J28" s="76"/>
      <c r="K28" s="77">
        <f>SUM(K13:K27)</f>
        <v>2710.6179921610128</v>
      </c>
    </row>
    <row r="29" spans="1:11" x14ac:dyDescent="0.25">
      <c r="A29" s="1"/>
      <c r="B29" s="1"/>
      <c r="C29" s="1"/>
      <c r="D29" s="1"/>
      <c r="E29" s="1"/>
      <c r="F29" s="1"/>
      <c r="G29" s="1"/>
      <c r="H29" s="1"/>
      <c r="I29" s="1"/>
      <c r="J29" s="1"/>
      <c r="K29" s="1"/>
    </row>
    <row r="30" spans="1:11" ht="24.95" customHeight="1" x14ac:dyDescent="0.25">
      <c r="A30" s="1"/>
      <c r="B30" s="74" t="s">
        <v>53</v>
      </c>
      <c r="C30" s="71"/>
      <c r="D30" s="71"/>
      <c r="E30" s="71"/>
      <c r="F30" s="71"/>
      <c r="G30" s="71"/>
      <c r="H30" s="71"/>
      <c r="I30" s="71"/>
      <c r="J30" s="71"/>
      <c r="K30" s="71"/>
    </row>
    <row r="31" spans="1:11" x14ac:dyDescent="0.25">
      <c r="A31" s="1"/>
      <c r="B31" s="1"/>
      <c r="C31" s="1"/>
      <c r="D31" s="1"/>
      <c r="E31" s="1"/>
      <c r="F31" s="1"/>
      <c r="G31" s="1"/>
      <c r="H31" s="1"/>
      <c r="I31" s="1"/>
      <c r="J31" s="1"/>
      <c r="K31" s="1"/>
    </row>
    <row r="32" spans="1:11" x14ac:dyDescent="0.25">
      <c r="A32" s="1"/>
      <c r="B32" s="79" t="s">
        <v>54</v>
      </c>
      <c r="C32" s="73"/>
      <c r="D32" s="73"/>
      <c r="E32" s="62" t="str">
        <f>IF(C13="","",C13&amp;" ("&amp;TEXT(E13,"0.00%")&amp;"): "&amp;TEXT(H13,"$#,##0")&amp;"/mo  --&gt;  PAID OFF!")</f>
        <v>Credit Card B (023%): $285,0/mo  --&gt;  PAID OFF!</v>
      </c>
      <c r="F32" s="63"/>
      <c r="G32" s="63"/>
      <c r="H32" s="63"/>
      <c r="I32" s="63"/>
      <c r="J32" s="63"/>
      <c r="K32" s="63"/>
    </row>
    <row r="33" spans="1:11" x14ac:dyDescent="0.25">
      <c r="A33" s="1"/>
      <c r="B33" s="1"/>
      <c r="C33" s="80" t="s">
        <v>42</v>
      </c>
      <c r="D33" s="54"/>
      <c r="E33" s="1"/>
      <c r="F33" s="1"/>
      <c r="G33" s="1"/>
      <c r="H33" s="1"/>
      <c r="I33" s="1"/>
      <c r="J33" s="1"/>
      <c r="K33" s="1"/>
    </row>
    <row r="34" spans="1:11" x14ac:dyDescent="0.25">
      <c r="A34" s="1"/>
      <c r="B34" s="79" t="s">
        <v>55</v>
      </c>
      <c r="C34" s="73"/>
      <c r="D34" s="73"/>
      <c r="E34" s="62" t="str">
        <f>IF(C14="","",C14&amp;" ("&amp;TEXT(E14,"0.00%")&amp;"): "&amp;TEXT(F14,"$#,##0")&amp;" min + "&amp;TEXT(H13,"$#,##0")&amp;" rollover = "&amp;TEXT(F14+H13,"$#,##0")&amp;"/mo")</f>
        <v>Credit Card A (020%): $130,0 min + $285,0 rollover = $415,0/mo</v>
      </c>
      <c r="F34" s="63"/>
      <c r="G34" s="63"/>
      <c r="H34" s="63"/>
      <c r="I34" s="63"/>
      <c r="J34" s="63"/>
      <c r="K34" s="63"/>
    </row>
    <row r="35" spans="1:11" x14ac:dyDescent="0.25">
      <c r="A35" s="1"/>
      <c r="B35" s="1"/>
      <c r="C35" s="80" t="s">
        <v>42</v>
      </c>
      <c r="D35" s="54"/>
      <c r="E35" s="1"/>
      <c r="F35" s="1"/>
      <c r="G35" s="1"/>
      <c r="H35" s="1"/>
      <c r="I35" s="1"/>
      <c r="J35" s="1"/>
      <c r="K35" s="1"/>
    </row>
    <row r="36" spans="1:11" x14ac:dyDescent="0.25">
      <c r="A36" s="1"/>
      <c r="B36" s="79" t="s">
        <v>56</v>
      </c>
      <c r="C36" s="73"/>
      <c r="D36" s="73"/>
      <c r="E36" s="62" t="str">
        <f>IF(C15="","",C15&amp;" ("&amp;TEXT(E15,"0.00%")&amp;"): "&amp;TEXT(F15,"$#,##0")&amp;" min + "&amp;TEXT(F14+H13,"$#,##0")&amp;" rollover")</f>
        <v>Student Loan (006%): $280,0 min + $415,0 rollover</v>
      </c>
      <c r="F36" s="63"/>
      <c r="G36" s="63"/>
      <c r="H36" s="63"/>
      <c r="I36" s="63"/>
      <c r="J36" s="63"/>
      <c r="K36" s="63"/>
    </row>
    <row r="37" spans="1:11" x14ac:dyDescent="0.25">
      <c r="A37" s="1"/>
      <c r="B37" s="1"/>
      <c r="C37" s="80" t="s">
        <v>42</v>
      </c>
      <c r="D37" s="54"/>
      <c r="E37" s="1"/>
      <c r="F37" s="1"/>
      <c r="G37" s="1"/>
      <c r="H37" s="1"/>
      <c r="I37" s="1"/>
      <c r="J37" s="1"/>
      <c r="K37" s="1"/>
    </row>
    <row r="38" spans="1:11" x14ac:dyDescent="0.25">
      <c r="A38" s="1"/>
      <c r="B38" s="79" t="s">
        <v>57</v>
      </c>
      <c r="C38" s="73"/>
      <c r="D38" s="73"/>
      <c r="E38" s="62" t="str">
        <f>IF(C16="","","You save the MOST money by killing high-interest debt first!")</f>
        <v>You save the MOST money by killing high-interest debt first!</v>
      </c>
      <c r="F38" s="63"/>
      <c r="G38" s="63"/>
      <c r="H38" s="63"/>
      <c r="I38" s="63"/>
      <c r="J38" s="63"/>
      <c r="K38" s="63"/>
    </row>
    <row r="39" spans="1:11" x14ac:dyDescent="0.25">
      <c r="A39" s="1"/>
      <c r="B39" s="1"/>
      <c r="C39" s="1"/>
      <c r="D39" s="1"/>
      <c r="E39" s="1"/>
      <c r="F39" s="1"/>
      <c r="G39" s="1"/>
      <c r="H39" s="1"/>
      <c r="I39" s="1"/>
      <c r="J39" s="1"/>
      <c r="K39" s="1"/>
    </row>
    <row r="40" spans="1:11" x14ac:dyDescent="0.25">
      <c r="A40" s="1"/>
      <c r="B40" s="1"/>
      <c r="C40" s="1"/>
      <c r="D40" s="1"/>
      <c r="E40" s="1"/>
      <c r="F40" s="1"/>
      <c r="G40" s="1"/>
      <c r="H40" s="1"/>
      <c r="I40" s="1"/>
      <c r="J40" s="1"/>
      <c r="K40" s="1"/>
    </row>
    <row r="41" spans="1:11" ht="24.95" customHeight="1" x14ac:dyDescent="0.25">
      <c r="A41" s="1"/>
      <c r="B41" s="81" t="s">
        <v>58</v>
      </c>
      <c r="C41" s="71"/>
      <c r="D41" s="71"/>
      <c r="E41" s="71"/>
      <c r="F41" s="71"/>
      <c r="G41" s="71"/>
      <c r="H41" s="71"/>
      <c r="I41" s="71"/>
      <c r="J41" s="71"/>
      <c r="K41" s="71"/>
    </row>
    <row r="42" spans="1:11" x14ac:dyDescent="0.25">
      <c r="A42" s="1"/>
      <c r="B42" s="82" t="s">
        <v>47</v>
      </c>
      <c r="C42" s="73"/>
      <c r="D42" s="73"/>
      <c r="E42" s="73"/>
      <c r="F42" s="68">
        <f>MAX(I13:I27)</f>
        <v>26.089414444827415</v>
      </c>
      <c r="G42" s="42"/>
      <c r="H42" s="42"/>
      <c r="I42" s="1"/>
      <c r="J42" s="1"/>
      <c r="K42" s="1"/>
    </row>
    <row r="43" spans="1:11" x14ac:dyDescent="0.25">
      <c r="A43" s="1"/>
      <c r="B43" s="82" t="s">
        <v>48</v>
      </c>
      <c r="C43" s="73"/>
      <c r="D43" s="73"/>
      <c r="E43" s="73"/>
      <c r="F43" s="69">
        <f>SUM(K13:K27)</f>
        <v>2710.6179921610128</v>
      </c>
      <c r="G43" s="42"/>
      <c r="H43" s="42"/>
      <c r="I43" s="1"/>
      <c r="J43" s="1"/>
      <c r="K43" s="1"/>
    </row>
    <row r="44" spans="1:11" x14ac:dyDescent="0.25">
      <c r="A44" s="1"/>
      <c r="B44" s="82" t="s">
        <v>49</v>
      </c>
      <c r="C44" s="73"/>
      <c r="D44" s="73"/>
      <c r="E44" s="73"/>
      <c r="F44" s="69">
        <f>SUM(D13:D27)+SUM(K13:K27)</f>
        <v>49110.617992161016</v>
      </c>
      <c r="G44" s="42"/>
      <c r="H44" s="42"/>
      <c r="I44" s="1"/>
      <c r="J44" s="1"/>
      <c r="K44" s="1"/>
    </row>
  </sheetData>
  <sheetProtection sheet="1" objects="1" scenarios="1"/>
  <mergeCells count="24">
    <mergeCell ref="F44:H44"/>
    <mergeCell ref="B42:E42"/>
    <mergeCell ref="B11:K11"/>
    <mergeCell ref="B44:E44"/>
    <mergeCell ref="E34:K34"/>
    <mergeCell ref="C37:D37"/>
    <mergeCell ref="F43:H43"/>
    <mergeCell ref="F9:K9"/>
    <mergeCell ref="B36:D36"/>
    <mergeCell ref="B43:E43"/>
    <mergeCell ref="B32:D32"/>
    <mergeCell ref="E38:K38"/>
    <mergeCell ref="B2:K3"/>
    <mergeCell ref="B38:D38"/>
    <mergeCell ref="C35:D35"/>
    <mergeCell ref="B34:D34"/>
    <mergeCell ref="B5:K7"/>
    <mergeCell ref="B9:D9"/>
    <mergeCell ref="E36:K36"/>
    <mergeCell ref="F42:H42"/>
    <mergeCell ref="C33:D33"/>
    <mergeCell ref="B30:K30"/>
    <mergeCell ref="E32:K32"/>
    <mergeCell ref="B41:K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44AD"/>
  </sheetPr>
  <dimension ref="A1:E33"/>
  <sheetViews>
    <sheetView workbookViewId="0">
      <pane ySplit="5" topLeftCell="A8" activePane="bottomLeft" state="frozen"/>
      <selection pane="bottomLeft" activeCell="B17" sqref="B17"/>
    </sheetView>
  </sheetViews>
  <sheetFormatPr baseColWidth="10" defaultColWidth="9.140625" defaultRowHeight="15" x14ac:dyDescent="0.25"/>
  <cols>
    <col min="1" max="1" width="1.5703125" customWidth="1"/>
    <col min="2" max="2" width="34.28515625" customWidth="1"/>
    <col min="3" max="5" width="26.7109375" customWidth="1"/>
    <col min="6" max="6" width="3" customWidth="1"/>
  </cols>
  <sheetData>
    <row r="1" spans="1:5" x14ac:dyDescent="0.25">
      <c r="A1" s="1"/>
      <c r="B1" s="1"/>
      <c r="C1" s="1"/>
      <c r="D1" s="1"/>
      <c r="E1" s="1"/>
    </row>
    <row r="2" spans="1:5" ht="30" customHeight="1" x14ac:dyDescent="0.25">
      <c r="A2" s="1"/>
      <c r="B2" s="83" t="s">
        <v>59</v>
      </c>
      <c r="C2" s="84"/>
      <c r="D2" s="84"/>
      <c r="E2" s="84"/>
    </row>
    <row r="3" spans="1:5" x14ac:dyDescent="0.25">
      <c r="A3" s="1"/>
      <c r="B3" s="84"/>
      <c r="C3" s="84"/>
      <c r="D3" s="84"/>
      <c r="E3" s="84"/>
    </row>
    <row r="4" spans="1:5" ht="20.100000000000001" customHeight="1" x14ac:dyDescent="0.25">
      <c r="A4" s="1"/>
      <c r="B4" s="85" t="s">
        <v>60</v>
      </c>
      <c r="C4" s="84"/>
      <c r="D4" s="84"/>
      <c r="E4" s="84"/>
    </row>
    <row r="5" spans="1:5" x14ac:dyDescent="0.25">
      <c r="A5" s="1"/>
      <c r="B5" s="1"/>
      <c r="C5" s="1"/>
      <c r="D5" s="1"/>
      <c r="E5" s="1"/>
    </row>
    <row r="6" spans="1:5" ht="20.100000000000001" customHeight="1" x14ac:dyDescent="0.25">
      <c r="A6" s="1"/>
      <c r="B6" s="86" t="s">
        <v>61</v>
      </c>
      <c r="C6" s="3"/>
      <c r="D6" s="3"/>
      <c r="E6" s="3"/>
    </row>
    <row r="7" spans="1:5" ht="15.75" x14ac:dyDescent="0.25">
      <c r="A7" s="1"/>
      <c r="B7" s="27" t="s">
        <v>62</v>
      </c>
      <c r="C7" s="27" t="s">
        <v>63</v>
      </c>
      <c r="D7" s="27" t="s">
        <v>64</v>
      </c>
      <c r="E7" s="27" t="s">
        <v>65</v>
      </c>
    </row>
    <row r="8" spans="1:5" x14ac:dyDescent="0.25">
      <c r="A8" s="1"/>
      <c r="B8" s="87" t="s">
        <v>66</v>
      </c>
      <c r="C8" s="88">
        <f>'Snowball Method'!I28</f>
        <v>14.605057405175449</v>
      </c>
      <c r="D8" s="88">
        <f>'Avalanche Method'!I28</f>
        <v>26.089414444827415</v>
      </c>
      <c r="E8" s="88">
        <f>C8-D8</f>
        <v>-11.484357039651966</v>
      </c>
    </row>
    <row r="9" spans="1:5" x14ac:dyDescent="0.25">
      <c r="A9" s="1"/>
      <c r="B9" s="89" t="s">
        <v>67</v>
      </c>
      <c r="C9" s="90">
        <f>'Snowball Method'!K28</f>
        <v>2101.5932918906346</v>
      </c>
      <c r="D9" s="90">
        <f>'Avalanche Method'!K28</f>
        <v>2710.6179921610128</v>
      </c>
      <c r="E9" s="90">
        <f>C9-D9</f>
        <v>-609.02470027037816</v>
      </c>
    </row>
    <row r="10" spans="1:5" x14ac:dyDescent="0.25">
      <c r="A10" s="1"/>
      <c r="B10" s="87" t="s">
        <v>68</v>
      </c>
      <c r="C10" s="91">
        <f>'Snowball Method'!K28+'Snowball Method'!D28</f>
        <v>48501.593291890633</v>
      </c>
      <c r="D10" s="91">
        <f>'Avalanche Method'!K28+'Avalanche Method'!D28</f>
        <v>49110.617992161016</v>
      </c>
      <c r="E10" s="91">
        <f>C10-D10</f>
        <v>-609.02470027038362</v>
      </c>
    </row>
    <row r="11" spans="1:5" x14ac:dyDescent="0.25">
      <c r="A11" s="1"/>
      <c r="B11" s="1"/>
      <c r="C11" s="1"/>
      <c r="D11" s="1"/>
      <c r="E11" s="1"/>
    </row>
    <row r="12" spans="1:5" ht="20.100000000000001" customHeight="1" x14ac:dyDescent="0.25">
      <c r="A12" s="1"/>
      <c r="B12" s="86" t="s">
        <v>69</v>
      </c>
      <c r="C12" s="3"/>
      <c r="D12" s="3"/>
      <c r="E12" s="3"/>
    </row>
    <row r="13" spans="1:5" ht="15.75" x14ac:dyDescent="0.25">
      <c r="A13" s="1"/>
      <c r="B13" s="27"/>
      <c r="C13" s="27" t="s">
        <v>70</v>
      </c>
      <c r="D13" s="27" t="s">
        <v>71</v>
      </c>
      <c r="E13" s="27"/>
    </row>
    <row r="14" spans="1:5" ht="30" customHeight="1" x14ac:dyDescent="0.25">
      <c r="A14" s="1"/>
      <c r="B14" s="92" t="s">
        <v>72</v>
      </c>
      <c r="C14" s="93" t="s">
        <v>73</v>
      </c>
      <c r="D14" s="93" t="s">
        <v>74</v>
      </c>
      <c r="E14" s="92" t="s">
        <v>72</v>
      </c>
    </row>
    <row r="15" spans="1:5" ht="30" customHeight="1" x14ac:dyDescent="0.25">
      <c r="A15" s="1"/>
      <c r="B15" s="92"/>
      <c r="C15" s="93" t="s">
        <v>75</v>
      </c>
      <c r="D15" s="93" t="s">
        <v>76</v>
      </c>
      <c r="E15" s="92"/>
    </row>
    <row r="16" spans="1:5" ht="30" customHeight="1" x14ac:dyDescent="0.25">
      <c r="A16" s="1"/>
      <c r="B16" s="92"/>
      <c r="C16" s="93" t="s">
        <v>77</v>
      </c>
      <c r="D16" s="93" t="s">
        <v>78</v>
      </c>
      <c r="E16" s="92"/>
    </row>
    <row r="17" spans="1:5" ht="30" customHeight="1" x14ac:dyDescent="0.25">
      <c r="A17" s="1"/>
      <c r="B17" s="94" t="s">
        <v>79</v>
      </c>
      <c r="C17" s="95" t="s">
        <v>80</v>
      </c>
      <c r="D17" s="95" t="s">
        <v>81</v>
      </c>
      <c r="E17" s="94" t="s">
        <v>79</v>
      </c>
    </row>
    <row r="18" spans="1:5" ht="30" customHeight="1" x14ac:dyDescent="0.25">
      <c r="A18" s="1"/>
      <c r="B18" s="94"/>
      <c r="C18" s="95" t="s">
        <v>82</v>
      </c>
      <c r="D18" s="95" t="s">
        <v>83</v>
      </c>
      <c r="E18" s="94"/>
    </row>
    <row r="19" spans="1:5" ht="30" customHeight="1" x14ac:dyDescent="0.25">
      <c r="A19" s="1"/>
      <c r="B19" s="94"/>
      <c r="C19" s="95"/>
      <c r="D19" s="95" t="s">
        <v>84</v>
      </c>
      <c r="E19" s="94"/>
    </row>
    <row r="20" spans="1:5" x14ac:dyDescent="0.25">
      <c r="A20" s="1"/>
      <c r="B20" s="1"/>
      <c r="C20" s="1"/>
      <c r="D20" s="1"/>
      <c r="E20" s="1"/>
    </row>
    <row r="21" spans="1:5" ht="54.95" customHeight="1" x14ac:dyDescent="0.25">
      <c r="A21" s="1"/>
      <c r="B21" s="96" t="s">
        <v>85</v>
      </c>
      <c r="C21" s="97"/>
      <c r="D21" s="97"/>
      <c r="E21" s="97"/>
    </row>
    <row r="22" spans="1:5" x14ac:dyDescent="0.25">
      <c r="A22" s="1"/>
      <c r="B22" s="97"/>
      <c r="C22" s="97"/>
      <c r="D22" s="97"/>
      <c r="E22" s="97"/>
    </row>
    <row r="23" spans="1:5" x14ac:dyDescent="0.25">
      <c r="A23" s="1"/>
      <c r="B23" s="1"/>
      <c r="C23" s="1"/>
      <c r="D23" s="1"/>
      <c r="E23" s="1"/>
    </row>
    <row r="24" spans="1:5" ht="24.95" customHeight="1" x14ac:dyDescent="0.25">
      <c r="A24" s="1"/>
      <c r="B24" s="98" t="s">
        <v>86</v>
      </c>
      <c r="C24" s="84"/>
      <c r="D24" s="84"/>
      <c r="E24" s="84"/>
    </row>
    <row r="25" spans="1:5" x14ac:dyDescent="0.25">
      <c r="A25" s="1"/>
      <c r="B25" s="99" t="s">
        <v>87</v>
      </c>
      <c r="C25" s="52"/>
      <c r="D25" s="52"/>
      <c r="E25" s="52"/>
    </row>
    <row r="26" spans="1:5" x14ac:dyDescent="0.25">
      <c r="A26" s="1"/>
      <c r="B26" s="1"/>
      <c r="C26" s="1"/>
      <c r="D26" s="1"/>
      <c r="E26" s="1"/>
    </row>
    <row r="27" spans="1:5" ht="31.5" x14ac:dyDescent="0.25">
      <c r="A27" s="1"/>
      <c r="B27" s="100" t="s">
        <v>88</v>
      </c>
      <c r="C27" s="100" t="s">
        <v>89</v>
      </c>
      <c r="D27" s="100" t="s">
        <v>90</v>
      </c>
      <c r="E27" s="100" t="s">
        <v>91</v>
      </c>
    </row>
    <row r="28" spans="1:5" x14ac:dyDescent="0.25">
      <c r="A28" s="1"/>
      <c r="B28" s="87" t="s">
        <v>92</v>
      </c>
      <c r="C28" s="91">
        <v>50</v>
      </c>
      <c r="D28" s="88">
        <f>IFERROR(IFERROR(NPER((IFERROR(SUMPRODUCT(Dashboard!D14:D28,Dashboard!E14:E28)/SUM(Dashboard!D14:D28),0.1))/12,-(SUM(Dashboard!F14:F28)+'Snowball Method'!E9),SUM(Dashboard!D14:D28)),0)-IFERROR(NPER((IFERROR(SUMPRODUCT(Dashboard!D14:D28,Dashboard!E14:E28)/SUM(Dashboard!D14:D28),0.1))/12,-(SUM(Dashboard!F14:F28)+'Snowball Method'!E9+50),SUM(Dashboard!D14:D28)),0),"-")</f>
        <v>2.8640092234117986</v>
      </c>
      <c r="E28" s="91">
        <f>IFERROR(((SUM(Dashboard!F14:F28)+'Snowball Method'!E9)*IFERROR(NPER((IFERROR(SUMPRODUCT(Dashboard!D14:D28,Dashboard!E14:E28)/SUM(Dashboard!D14:D28),0.1))/12,-(SUM(Dashboard!F14:F28)+'Snowball Method'!E9),SUM(Dashboard!D14:D28)),0)-SUM(Dashboard!D14:D28))-((SUM(Dashboard!F14:F28)+'Snowball Method'!E9+50)*IFERROR(NPER((IFERROR(SUMPRODUCT(Dashboard!D14:D28,Dashboard!E14:E28)/SUM(Dashboard!D14:D28),0.1))/12,-(SUM(Dashboard!F14:F28)+'Snowball Method'!E9+50),SUM(Dashboard!D14:D28)),0)-SUM(Dashboard!D14:D28)),"-")</f>
        <v>494.04396667618857</v>
      </c>
    </row>
    <row r="29" spans="1:5" x14ac:dyDescent="0.25">
      <c r="A29" s="1"/>
      <c r="B29" s="89" t="s">
        <v>93</v>
      </c>
      <c r="C29" s="90">
        <v>100</v>
      </c>
      <c r="D29" s="101">
        <f>IFERROR(IFERROR(NPER((IFERROR(SUMPRODUCT(Dashboard!D14:D28,Dashboard!E14:E28)/SUM(Dashboard!D14:D28),0.1))/12,-(SUM(Dashboard!F14:F28)+'Snowball Method'!E9),SUM(Dashboard!D14:D28)),0)-IFERROR(NPER((IFERROR(SUMPRODUCT(Dashboard!D14:D28,Dashboard!E14:E28)/SUM(Dashboard!D14:D28),0.1))/12,-(SUM(Dashboard!F14:F28)+'Snowball Method'!E9+100),SUM(Dashboard!D14:D28)),0),"-")</f>
        <v>5.4310826359050495</v>
      </c>
      <c r="E29" s="90">
        <f>IFERROR(((SUM(Dashboard!F14:F28)+'Snowball Method'!E9)*IFERROR(NPER((IFERROR(SUMPRODUCT(Dashboard!D14:D28,Dashboard!E14:E28)/SUM(Dashboard!D14:D28),0.1))/12,-(SUM(Dashboard!F14:F28)+'Snowball Method'!E9),SUM(Dashboard!D14:D28)),0)-SUM(Dashboard!D14:D28))-((SUM(Dashboard!F14:F28)+'Snowball Method'!E9+100)*IFERROR(NPER((IFERROR(SUMPRODUCT(Dashboard!D14:D28,Dashboard!E14:E28)/SUM(Dashboard!D14:D28),0.1))/12,-(SUM(Dashboard!F14:F28)+'Snowball Method'!E9+100),SUM(Dashboard!D14:D28)),0)-SUM(Dashboard!D14:D28)),"-")</f>
        <v>934.49735219181457</v>
      </c>
    </row>
    <row r="30" spans="1:5" x14ac:dyDescent="0.25">
      <c r="A30" s="1"/>
      <c r="B30" s="87" t="s">
        <v>94</v>
      </c>
      <c r="C30" s="91">
        <v>200</v>
      </c>
      <c r="D30" s="88">
        <f>IFERROR(IFERROR(NPER((IFERROR(SUMPRODUCT(Dashboard!D14:D28,Dashboard!E14:E28)/SUM(Dashboard!D14:D28),0.1))/12,-(SUM(Dashboard!F14:F28)+'Snowball Method'!E9),SUM(Dashboard!D14:D28)),0)-IFERROR(NPER((IFERROR(SUMPRODUCT(Dashboard!D14:D28,Dashboard!E14:E28)/SUM(Dashboard!D14:D28),0.1))/12,-(SUM(Dashboard!F14:F28)+'Snowball Method'!E9+200),SUM(Dashboard!D14:D28)),0),"-")</f>
        <v>9.8429032034863084</v>
      </c>
      <c r="E30" s="91">
        <f>IFERROR(((SUM(Dashboard!F14:F28)+'Snowball Method'!E9)*IFERROR(NPER((IFERROR(SUMPRODUCT(Dashboard!D14:D28,Dashboard!E14:E28)/SUM(Dashboard!D14:D28),0.1))/12,-(SUM(Dashboard!F14:F28)+'Snowball Method'!E9),SUM(Dashboard!D14:D28)),0)-SUM(Dashboard!D14:D28))-((SUM(Dashboard!F14:F28)+'Snowball Method'!E9+200)*IFERROR(NPER((IFERROR(SUMPRODUCT(Dashboard!D14:D28,Dashboard!E14:E28)/SUM(Dashboard!D14:D28),0.1))/12,-(SUM(Dashboard!F14:F28)+'Snowball Method'!E9+200),SUM(Dashboard!D14:D28)),0)-SUM(Dashboard!D14:D28)),"-")</f>
        <v>1686.2299565015201</v>
      </c>
    </row>
    <row r="31" spans="1:5" x14ac:dyDescent="0.25">
      <c r="A31" s="1"/>
      <c r="B31" s="89" t="s">
        <v>95</v>
      </c>
      <c r="C31" s="90">
        <v>500</v>
      </c>
      <c r="D31" s="101">
        <f>IFERROR(IFERROR(NPER((IFERROR(SUMPRODUCT(Dashboard!D14:D28,Dashboard!E14:E28)/SUM(Dashboard!D14:D28),0.1))/12,-(SUM(Dashboard!F14:F28)+'Snowball Method'!E9),SUM(Dashboard!D14:D28)),0)-IFERROR(NPER((IFERROR(SUMPRODUCT(Dashboard!D14:D28,Dashboard!E14:E28)/SUM(Dashboard!D14:D28),0.1))/12,-(SUM(Dashboard!F14:F28)+'Snowball Method'!E9+500),SUM(Dashboard!D14:D28)),0),"-")</f>
        <v>19.210942383494164</v>
      </c>
      <c r="E31" s="90">
        <f>IFERROR(((SUM(Dashboard!F14:F28)+'Snowball Method'!E9)*IFERROR(NPER((IFERROR(SUMPRODUCT(Dashboard!D14:D28,Dashboard!E14:E28)/SUM(Dashboard!D14:D28),0.1))/12,-(SUM(Dashboard!F14:F28)+'Snowball Method'!E9),SUM(Dashboard!D14:D28)),0)-SUM(Dashboard!D14:D28))-((SUM(Dashboard!F14:F28)+'Snowball Method'!E9+500)*IFERROR(NPER((IFERROR(SUMPRODUCT(Dashboard!D14:D28,Dashboard!E14:E28)/SUM(Dashboard!D14:D28),0.1))/12,-(SUM(Dashboard!F14:F28)+'Snowball Method'!E9+500),SUM(Dashboard!D14:D28)),0)-SUM(Dashboard!D14:D28)),"-")</f>
        <v>3260.4446529011402</v>
      </c>
    </row>
    <row r="32" spans="1:5" x14ac:dyDescent="0.25">
      <c r="A32" s="1"/>
      <c r="B32" s="1"/>
      <c r="C32" s="1"/>
      <c r="D32" s="1"/>
      <c r="E32" s="1"/>
    </row>
    <row r="33" spans="1:5" x14ac:dyDescent="0.25">
      <c r="A33" s="1"/>
      <c r="B33" s="53" t="s">
        <v>96</v>
      </c>
      <c r="C33" s="54"/>
      <c r="D33" s="54"/>
      <c r="E33" s="54"/>
    </row>
  </sheetData>
  <sheetProtection sheet="1" objects="1" scenarios="1"/>
  <mergeCells count="8">
    <mergeCell ref="B2:E3"/>
    <mergeCell ref="B4:E4"/>
    <mergeCell ref="B12:E12"/>
    <mergeCell ref="B6:E6"/>
    <mergeCell ref="B33:E33"/>
    <mergeCell ref="B25:E25"/>
    <mergeCell ref="B24:E24"/>
    <mergeCell ref="B21:E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AE60"/>
  </sheetPr>
  <dimension ref="A1:G108"/>
  <sheetViews>
    <sheetView workbookViewId="0">
      <pane ySplit="8" topLeftCell="A9" activePane="bottomLeft" state="frozen"/>
      <selection pane="bottomLeft" activeCell="C15" sqref="C15"/>
    </sheetView>
  </sheetViews>
  <sheetFormatPr baseColWidth="10" defaultColWidth="9.140625" defaultRowHeight="15" x14ac:dyDescent="0.25"/>
  <cols>
    <col min="1" max="1" width="1.5703125" customWidth="1"/>
    <col min="2" max="2" width="18.140625" customWidth="1"/>
    <col min="3" max="3" width="26.7109375" customWidth="1"/>
    <col min="4" max="4" width="21" customWidth="1"/>
    <col min="5" max="5" width="19" customWidth="1"/>
    <col min="6" max="6" width="22.85546875" customWidth="1"/>
    <col min="7" max="7" width="38.140625" customWidth="1"/>
    <col min="8" max="8" width="3" customWidth="1"/>
  </cols>
  <sheetData>
    <row r="1" spans="1:7" x14ac:dyDescent="0.25">
      <c r="A1" s="1"/>
      <c r="B1" s="1"/>
      <c r="C1" s="1"/>
      <c r="D1" s="1"/>
      <c r="E1" s="1"/>
      <c r="F1" s="1"/>
      <c r="G1" s="1"/>
    </row>
    <row r="2" spans="1:7" ht="30" customHeight="1" x14ac:dyDescent="0.25">
      <c r="A2" s="1"/>
      <c r="B2" s="102" t="s">
        <v>97</v>
      </c>
      <c r="C2" s="38"/>
      <c r="D2" s="38"/>
      <c r="E2" s="38"/>
      <c r="F2" s="38"/>
      <c r="G2" s="38"/>
    </row>
    <row r="3" spans="1:7" x14ac:dyDescent="0.25">
      <c r="A3" s="1"/>
      <c r="B3" s="38"/>
      <c r="C3" s="38"/>
      <c r="D3" s="38"/>
      <c r="E3" s="38"/>
      <c r="F3" s="38"/>
      <c r="G3" s="38"/>
    </row>
    <row r="4" spans="1:7" ht="20.100000000000001" customHeight="1" x14ac:dyDescent="0.25">
      <c r="A4" s="1"/>
      <c r="B4" s="103" t="s">
        <v>98</v>
      </c>
      <c r="C4" s="38"/>
      <c r="D4" s="38"/>
      <c r="E4" s="38"/>
      <c r="F4" s="38"/>
      <c r="G4" s="38"/>
    </row>
    <row r="5" spans="1:7" x14ac:dyDescent="0.25">
      <c r="A5" s="1"/>
      <c r="B5" s="1"/>
      <c r="C5" s="1"/>
      <c r="D5" s="1"/>
      <c r="E5" s="1"/>
      <c r="F5" s="1"/>
      <c r="G5" s="1"/>
    </row>
    <row r="6" spans="1:7" ht="21.95" customHeight="1" x14ac:dyDescent="0.25">
      <c r="A6" s="1"/>
      <c r="B6" s="51" t="s">
        <v>99</v>
      </c>
      <c r="C6" s="52"/>
      <c r="D6" s="104">
        <f>COUNTA(B9:B108)</f>
        <v>0</v>
      </c>
      <c r="E6" s="51" t="s">
        <v>100</v>
      </c>
      <c r="F6" s="52"/>
      <c r="G6" s="105">
        <f>SUM(D9:D108)</f>
        <v>0</v>
      </c>
    </row>
    <row r="7" spans="1:7" x14ac:dyDescent="0.25">
      <c r="A7" s="1"/>
      <c r="B7" s="1"/>
      <c r="C7" s="1"/>
      <c r="D7" s="1"/>
      <c r="E7" s="1"/>
      <c r="F7" s="1"/>
      <c r="G7" s="1"/>
    </row>
    <row r="8" spans="1:7" ht="24.95" customHeight="1" x14ac:dyDescent="0.25">
      <c r="A8" s="1"/>
      <c r="B8" s="107" t="s">
        <v>101</v>
      </c>
      <c r="C8" s="106" t="s">
        <v>9</v>
      </c>
      <c r="D8" s="106" t="s">
        <v>102</v>
      </c>
      <c r="E8" s="106" t="s">
        <v>103</v>
      </c>
      <c r="F8" s="107" t="s">
        <v>104</v>
      </c>
      <c r="G8" s="107" t="s">
        <v>105</v>
      </c>
    </row>
    <row r="9" spans="1:7" x14ac:dyDescent="0.25">
      <c r="A9" s="1"/>
      <c r="B9" s="136"/>
      <c r="C9" s="137"/>
      <c r="D9" s="138"/>
      <c r="E9" s="139"/>
      <c r="F9" s="28" t="str">
        <f>IFERROR(IF(D9="","",SUM(Dashboard!D14:D28)-D9),"")</f>
        <v/>
      </c>
      <c r="G9" s="140"/>
    </row>
    <row r="10" spans="1:7" x14ac:dyDescent="0.25">
      <c r="A10" s="1"/>
      <c r="B10" s="141"/>
      <c r="C10" s="142"/>
      <c r="D10" s="143"/>
      <c r="E10" s="144"/>
      <c r="F10" s="31" t="str">
        <f t="shared" ref="F10:F41" si="0">IFERROR(IF(D10="","",F9-D10),"")</f>
        <v/>
      </c>
      <c r="G10" s="145"/>
    </row>
    <row r="11" spans="1:7" x14ac:dyDescent="0.25">
      <c r="A11" s="1"/>
      <c r="B11" s="136"/>
      <c r="C11" s="137"/>
      <c r="D11" s="138"/>
      <c r="E11" s="139"/>
      <c r="F11" s="28" t="str">
        <f t="shared" si="0"/>
        <v/>
      </c>
      <c r="G11" s="140"/>
    </row>
    <row r="12" spans="1:7" x14ac:dyDescent="0.25">
      <c r="A12" s="1"/>
      <c r="B12" s="141"/>
      <c r="C12" s="142"/>
      <c r="D12" s="143"/>
      <c r="E12" s="144"/>
      <c r="F12" s="31" t="str">
        <f t="shared" si="0"/>
        <v/>
      </c>
      <c r="G12" s="145"/>
    </row>
    <row r="13" spans="1:7" x14ac:dyDescent="0.25">
      <c r="A13" s="1"/>
      <c r="B13" s="136"/>
      <c r="C13" s="137"/>
      <c r="D13" s="138"/>
      <c r="E13" s="139"/>
      <c r="F13" s="28" t="str">
        <f t="shared" si="0"/>
        <v/>
      </c>
      <c r="G13" s="140"/>
    </row>
    <row r="14" spans="1:7" x14ac:dyDescent="0.25">
      <c r="A14" s="1"/>
      <c r="B14" s="141"/>
      <c r="C14" s="142"/>
      <c r="D14" s="143"/>
      <c r="E14" s="144"/>
      <c r="F14" s="31" t="str">
        <f t="shared" si="0"/>
        <v/>
      </c>
      <c r="G14" s="145"/>
    </row>
    <row r="15" spans="1:7" x14ac:dyDescent="0.25">
      <c r="A15" s="1"/>
      <c r="B15" s="136"/>
      <c r="C15" s="137"/>
      <c r="D15" s="138"/>
      <c r="E15" s="139"/>
      <c r="F15" s="28" t="str">
        <f t="shared" si="0"/>
        <v/>
      </c>
      <c r="G15" s="140"/>
    </row>
    <row r="16" spans="1:7" x14ac:dyDescent="0.25">
      <c r="A16" s="1"/>
      <c r="B16" s="141"/>
      <c r="C16" s="142"/>
      <c r="D16" s="143"/>
      <c r="E16" s="144"/>
      <c r="F16" s="31" t="str">
        <f t="shared" si="0"/>
        <v/>
      </c>
      <c r="G16" s="145"/>
    </row>
    <row r="17" spans="1:7" x14ac:dyDescent="0.25">
      <c r="A17" s="1"/>
      <c r="B17" s="136"/>
      <c r="C17" s="137"/>
      <c r="D17" s="138"/>
      <c r="E17" s="139"/>
      <c r="F17" s="28" t="str">
        <f t="shared" si="0"/>
        <v/>
      </c>
      <c r="G17" s="140"/>
    </row>
    <row r="18" spans="1:7" x14ac:dyDescent="0.25">
      <c r="A18" s="1"/>
      <c r="B18" s="141"/>
      <c r="C18" s="142"/>
      <c r="D18" s="143"/>
      <c r="E18" s="144"/>
      <c r="F18" s="31" t="str">
        <f t="shared" si="0"/>
        <v/>
      </c>
      <c r="G18" s="145"/>
    </row>
    <row r="19" spans="1:7" x14ac:dyDescent="0.25">
      <c r="A19" s="1"/>
      <c r="B19" s="136"/>
      <c r="C19" s="137"/>
      <c r="D19" s="138"/>
      <c r="E19" s="139"/>
      <c r="F19" s="28" t="str">
        <f t="shared" si="0"/>
        <v/>
      </c>
      <c r="G19" s="140"/>
    </row>
    <row r="20" spans="1:7" x14ac:dyDescent="0.25">
      <c r="A20" s="1"/>
      <c r="B20" s="141"/>
      <c r="C20" s="142"/>
      <c r="D20" s="143"/>
      <c r="E20" s="144"/>
      <c r="F20" s="31" t="str">
        <f t="shared" si="0"/>
        <v/>
      </c>
      <c r="G20" s="145"/>
    </row>
    <row r="21" spans="1:7" x14ac:dyDescent="0.25">
      <c r="A21" s="1"/>
      <c r="B21" s="136"/>
      <c r="C21" s="137"/>
      <c r="D21" s="138"/>
      <c r="E21" s="139"/>
      <c r="F21" s="28" t="str">
        <f t="shared" si="0"/>
        <v/>
      </c>
      <c r="G21" s="140"/>
    </row>
    <row r="22" spans="1:7" x14ac:dyDescent="0.25">
      <c r="A22" s="1"/>
      <c r="B22" s="141"/>
      <c r="C22" s="142"/>
      <c r="D22" s="143"/>
      <c r="E22" s="144"/>
      <c r="F22" s="31" t="str">
        <f t="shared" si="0"/>
        <v/>
      </c>
      <c r="G22" s="145"/>
    </row>
    <row r="23" spans="1:7" x14ac:dyDescent="0.25">
      <c r="A23" s="1"/>
      <c r="B23" s="136"/>
      <c r="C23" s="137"/>
      <c r="D23" s="138"/>
      <c r="E23" s="139"/>
      <c r="F23" s="28" t="str">
        <f t="shared" si="0"/>
        <v/>
      </c>
      <c r="G23" s="140"/>
    </row>
    <row r="24" spans="1:7" x14ac:dyDescent="0.25">
      <c r="A24" s="1"/>
      <c r="B24" s="141"/>
      <c r="C24" s="142"/>
      <c r="D24" s="143"/>
      <c r="E24" s="144"/>
      <c r="F24" s="31" t="str">
        <f t="shared" si="0"/>
        <v/>
      </c>
      <c r="G24" s="145"/>
    </row>
    <row r="25" spans="1:7" x14ac:dyDescent="0.25">
      <c r="A25" s="1"/>
      <c r="B25" s="136"/>
      <c r="C25" s="137"/>
      <c r="D25" s="138"/>
      <c r="E25" s="139"/>
      <c r="F25" s="28" t="str">
        <f t="shared" si="0"/>
        <v/>
      </c>
      <c r="G25" s="140"/>
    </row>
    <row r="26" spans="1:7" x14ac:dyDescent="0.25">
      <c r="A26" s="1"/>
      <c r="B26" s="141"/>
      <c r="C26" s="142"/>
      <c r="D26" s="143"/>
      <c r="E26" s="144"/>
      <c r="F26" s="31" t="str">
        <f t="shared" si="0"/>
        <v/>
      </c>
      <c r="G26" s="145"/>
    </row>
    <row r="27" spans="1:7" x14ac:dyDescent="0.25">
      <c r="A27" s="1"/>
      <c r="B27" s="136"/>
      <c r="C27" s="137"/>
      <c r="D27" s="138"/>
      <c r="E27" s="139"/>
      <c r="F27" s="28" t="str">
        <f t="shared" si="0"/>
        <v/>
      </c>
      <c r="G27" s="140"/>
    </row>
    <row r="28" spans="1:7" x14ac:dyDescent="0.25">
      <c r="A28" s="1"/>
      <c r="B28" s="141"/>
      <c r="C28" s="142"/>
      <c r="D28" s="143"/>
      <c r="E28" s="144"/>
      <c r="F28" s="31" t="str">
        <f t="shared" si="0"/>
        <v/>
      </c>
      <c r="G28" s="145"/>
    </row>
    <row r="29" spans="1:7" x14ac:dyDescent="0.25">
      <c r="A29" s="1"/>
      <c r="B29" s="136"/>
      <c r="C29" s="137"/>
      <c r="D29" s="138"/>
      <c r="E29" s="139"/>
      <c r="F29" s="28" t="str">
        <f t="shared" si="0"/>
        <v/>
      </c>
      <c r="G29" s="140"/>
    </row>
    <row r="30" spans="1:7" x14ac:dyDescent="0.25">
      <c r="A30" s="1"/>
      <c r="B30" s="141"/>
      <c r="C30" s="142"/>
      <c r="D30" s="143"/>
      <c r="E30" s="144"/>
      <c r="F30" s="31" t="str">
        <f t="shared" si="0"/>
        <v/>
      </c>
      <c r="G30" s="145"/>
    </row>
    <row r="31" spans="1:7" x14ac:dyDescent="0.25">
      <c r="A31" s="1"/>
      <c r="B31" s="136"/>
      <c r="C31" s="137"/>
      <c r="D31" s="138"/>
      <c r="E31" s="139"/>
      <c r="F31" s="28" t="str">
        <f t="shared" si="0"/>
        <v/>
      </c>
      <c r="G31" s="140"/>
    </row>
    <row r="32" spans="1:7" x14ac:dyDescent="0.25">
      <c r="A32" s="1"/>
      <c r="B32" s="141"/>
      <c r="C32" s="142"/>
      <c r="D32" s="143"/>
      <c r="E32" s="144"/>
      <c r="F32" s="31" t="str">
        <f t="shared" si="0"/>
        <v/>
      </c>
      <c r="G32" s="145"/>
    </row>
    <row r="33" spans="1:7" x14ac:dyDescent="0.25">
      <c r="A33" s="1"/>
      <c r="B33" s="136"/>
      <c r="C33" s="137"/>
      <c r="D33" s="138"/>
      <c r="E33" s="139"/>
      <c r="F33" s="28" t="str">
        <f t="shared" si="0"/>
        <v/>
      </c>
      <c r="G33" s="140"/>
    </row>
    <row r="34" spans="1:7" x14ac:dyDescent="0.25">
      <c r="A34" s="1"/>
      <c r="B34" s="141"/>
      <c r="C34" s="142"/>
      <c r="D34" s="143"/>
      <c r="E34" s="144"/>
      <c r="F34" s="31" t="str">
        <f t="shared" si="0"/>
        <v/>
      </c>
      <c r="G34" s="146" t="str">
        <f>CONCATENATE("Subtotal (rows 1-25): ",TEXT(SUM(D9:D33),"$#,##0.00"))</f>
        <v>Subtotal (rows 1-25): $,000</v>
      </c>
    </row>
    <row r="35" spans="1:7" x14ac:dyDescent="0.25">
      <c r="A35" s="1"/>
      <c r="B35" s="136"/>
      <c r="C35" s="137"/>
      <c r="D35" s="138"/>
      <c r="E35" s="139"/>
      <c r="F35" s="28" t="str">
        <f t="shared" si="0"/>
        <v/>
      </c>
      <c r="G35" s="140"/>
    </row>
    <row r="36" spans="1:7" x14ac:dyDescent="0.25">
      <c r="A36" s="1"/>
      <c r="B36" s="141"/>
      <c r="C36" s="142"/>
      <c r="D36" s="143"/>
      <c r="E36" s="144"/>
      <c r="F36" s="31" t="str">
        <f t="shared" si="0"/>
        <v/>
      </c>
      <c r="G36" s="145"/>
    </row>
    <row r="37" spans="1:7" x14ac:dyDescent="0.25">
      <c r="A37" s="1"/>
      <c r="B37" s="136"/>
      <c r="C37" s="137"/>
      <c r="D37" s="138"/>
      <c r="E37" s="139"/>
      <c r="F37" s="28" t="str">
        <f t="shared" si="0"/>
        <v/>
      </c>
      <c r="G37" s="140"/>
    </row>
    <row r="38" spans="1:7" x14ac:dyDescent="0.25">
      <c r="A38" s="1"/>
      <c r="B38" s="141"/>
      <c r="C38" s="142"/>
      <c r="D38" s="143"/>
      <c r="E38" s="144"/>
      <c r="F38" s="31" t="str">
        <f t="shared" si="0"/>
        <v/>
      </c>
      <c r="G38" s="145"/>
    </row>
    <row r="39" spans="1:7" x14ac:dyDescent="0.25">
      <c r="A39" s="1"/>
      <c r="B39" s="136"/>
      <c r="C39" s="137"/>
      <c r="D39" s="138"/>
      <c r="E39" s="139"/>
      <c r="F39" s="28" t="str">
        <f t="shared" si="0"/>
        <v/>
      </c>
      <c r="G39" s="140"/>
    </row>
    <row r="40" spans="1:7" x14ac:dyDescent="0.25">
      <c r="A40" s="1"/>
      <c r="B40" s="141"/>
      <c r="C40" s="142"/>
      <c r="D40" s="143"/>
      <c r="E40" s="144"/>
      <c r="F40" s="31" t="str">
        <f t="shared" si="0"/>
        <v/>
      </c>
      <c r="G40" s="145"/>
    </row>
    <row r="41" spans="1:7" x14ac:dyDescent="0.25">
      <c r="A41" s="1"/>
      <c r="B41" s="136"/>
      <c r="C41" s="137"/>
      <c r="D41" s="138"/>
      <c r="E41" s="139"/>
      <c r="F41" s="28" t="str">
        <f t="shared" si="0"/>
        <v/>
      </c>
      <c r="G41" s="140"/>
    </row>
    <row r="42" spans="1:7" x14ac:dyDescent="0.25">
      <c r="A42" s="1"/>
      <c r="B42" s="141"/>
      <c r="C42" s="142"/>
      <c r="D42" s="143"/>
      <c r="E42" s="144"/>
      <c r="F42" s="31" t="str">
        <f t="shared" ref="F42:F73" si="1">IFERROR(IF(D42="","",F41-D42),"")</f>
        <v/>
      </c>
      <c r="G42" s="145"/>
    </row>
    <row r="43" spans="1:7" x14ac:dyDescent="0.25">
      <c r="A43" s="1"/>
      <c r="B43" s="136"/>
      <c r="C43" s="137"/>
      <c r="D43" s="138"/>
      <c r="E43" s="139"/>
      <c r="F43" s="28" t="str">
        <f t="shared" si="1"/>
        <v/>
      </c>
      <c r="G43" s="140"/>
    </row>
    <row r="44" spans="1:7" x14ac:dyDescent="0.25">
      <c r="A44" s="1"/>
      <c r="B44" s="141"/>
      <c r="C44" s="142"/>
      <c r="D44" s="143"/>
      <c r="E44" s="144"/>
      <c r="F44" s="31" t="str">
        <f t="shared" si="1"/>
        <v/>
      </c>
      <c r="G44" s="145"/>
    </row>
    <row r="45" spans="1:7" x14ac:dyDescent="0.25">
      <c r="A45" s="1"/>
      <c r="B45" s="136"/>
      <c r="C45" s="137"/>
      <c r="D45" s="138"/>
      <c r="E45" s="139"/>
      <c r="F45" s="28" t="str">
        <f t="shared" si="1"/>
        <v/>
      </c>
      <c r="G45" s="140"/>
    </row>
    <row r="46" spans="1:7" x14ac:dyDescent="0.25">
      <c r="A46" s="1"/>
      <c r="B46" s="141"/>
      <c r="C46" s="142"/>
      <c r="D46" s="143"/>
      <c r="E46" s="144"/>
      <c r="F46" s="31" t="str">
        <f t="shared" si="1"/>
        <v/>
      </c>
      <c r="G46" s="145"/>
    </row>
    <row r="47" spans="1:7" x14ac:dyDescent="0.25">
      <c r="A47" s="1"/>
      <c r="B47" s="136"/>
      <c r="C47" s="137"/>
      <c r="D47" s="138"/>
      <c r="E47" s="139"/>
      <c r="F47" s="28" t="str">
        <f t="shared" si="1"/>
        <v/>
      </c>
      <c r="G47" s="140"/>
    </row>
    <row r="48" spans="1:7" x14ac:dyDescent="0.25">
      <c r="A48" s="1"/>
      <c r="B48" s="141"/>
      <c r="C48" s="142"/>
      <c r="D48" s="143"/>
      <c r="E48" s="144"/>
      <c r="F48" s="31" t="str">
        <f t="shared" si="1"/>
        <v/>
      </c>
      <c r="G48" s="145"/>
    </row>
    <row r="49" spans="1:7" x14ac:dyDescent="0.25">
      <c r="A49" s="1"/>
      <c r="B49" s="136"/>
      <c r="C49" s="137"/>
      <c r="D49" s="138"/>
      <c r="E49" s="139"/>
      <c r="F49" s="28" t="str">
        <f t="shared" si="1"/>
        <v/>
      </c>
      <c r="G49" s="140"/>
    </row>
    <row r="50" spans="1:7" x14ac:dyDescent="0.25">
      <c r="A50" s="1"/>
      <c r="B50" s="141"/>
      <c r="C50" s="142"/>
      <c r="D50" s="143"/>
      <c r="E50" s="144"/>
      <c r="F50" s="31" t="str">
        <f t="shared" si="1"/>
        <v/>
      </c>
      <c r="G50" s="145"/>
    </row>
    <row r="51" spans="1:7" x14ac:dyDescent="0.25">
      <c r="A51" s="1"/>
      <c r="B51" s="136"/>
      <c r="C51" s="137"/>
      <c r="D51" s="138"/>
      <c r="E51" s="139"/>
      <c r="F51" s="28" t="str">
        <f t="shared" si="1"/>
        <v/>
      </c>
      <c r="G51" s="140"/>
    </row>
    <row r="52" spans="1:7" x14ac:dyDescent="0.25">
      <c r="A52" s="1"/>
      <c r="B52" s="141"/>
      <c r="C52" s="142"/>
      <c r="D52" s="143"/>
      <c r="E52" s="144"/>
      <c r="F52" s="31" t="str">
        <f t="shared" si="1"/>
        <v/>
      </c>
      <c r="G52" s="145"/>
    </row>
    <row r="53" spans="1:7" x14ac:dyDescent="0.25">
      <c r="A53" s="1"/>
      <c r="B53" s="136"/>
      <c r="C53" s="137"/>
      <c r="D53" s="138"/>
      <c r="E53" s="139"/>
      <c r="F53" s="28" t="str">
        <f t="shared" si="1"/>
        <v/>
      </c>
      <c r="G53" s="140"/>
    </row>
    <row r="54" spans="1:7" x14ac:dyDescent="0.25">
      <c r="A54" s="1"/>
      <c r="B54" s="141"/>
      <c r="C54" s="142"/>
      <c r="D54" s="143"/>
      <c r="E54" s="144"/>
      <c r="F54" s="31" t="str">
        <f t="shared" si="1"/>
        <v/>
      </c>
      <c r="G54" s="145"/>
    </row>
    <row r="55" spans="1:7" x14ac:dyDescent="0.25">
      <c r="A55" s="1"/>
      <c r="B55" s="136"/>
      <c r="C55" s="137"/>
      <c r="D55" s="138"/>
      <c r="E55" s="139"/>
      <c r="F55" s="28" t="str">
        <f t="shared" si="1"/>
        <v/>
      </c>
      <c r="G55" s="140"/>
    </row>
    <row r="56" spans="1:7" x14ac:dyDescent="0.25">
      <c r="A56" s="1"/>
      <c r="B56" s="141"/>
      <c r="C56" s="142"/>
      <c r="D56" s="143"/>
      <c r="E56" s="144"/>
      <c r="F56" s="31" t="str">
        <f t="shared" si="1"/>
        <v/>
      </c>
      <c r="G56" s="145"/>
    </row>
    <row r="57" spans="1:7" x14ac:dyDescent="0.25">
      <c r="A57" s="1"/>
      <c r="B57" s="136"/>
      <c r="C57" s="137"/>
      <c r="D57" s="138"/>
      <c r="E57" s="139"/>
      <c r="F57" s="28" t="str">
        <f t="shared" si="1"/>
        <v/>
      </c>
      <c r="G57" s="140"/>
    </row>
    <row r="58" spans="1:7" x14ac:dyDescent="0.25">
      <c r="A58" s="1"/>
      <c r="B58" s="141"/>
      <c r="C58" s="142"/>
      <c r="D58" s="143"/>
      <c r="E58" s="144"/>
      <c r="F58" s="31" t="str">
        <f t="shared" si="1"/>
        <v/>
      </c>
      <c r="G58" s="145"/>
    </row>
    <row r="59" spans="1:7" x14ac:dyDescent="0.25">
      <c r="A59" s="1"/>
      <c r="B59" s="136"/>
      <c r="C59" s="137"/>
      <c r="D59" s="138"/>
      <c r="E59" s="139"/>
      <c r="F59" s="28" t="str">
        <f t="shared" si="1"/>
        <v/>
      </c>
      <c r="G59" s="147" t="str">
        <f>CONCATENATE("Subtotal (rows 1-50): ",TEXT(SUM(D9:D58),"$#,##0.00"))</f>
        <v>Subtotal (rows 1-50): $,000</v>
      </c>
    </row>
    <row r="60" spans="1:7" x14ac:dyDescent="0.25">
      <c r="A60" s="1"/>
      <c r="B60" s="141"/>
      <c r="C60" s="142"/>
      <c r="D60" s="143"/>
      <c r="E60" s="144"/>
      <c r="F60" s="31" t="str">
        <f t="shared" si="1"/>
        <v/>
      </c>
      <c r="G60" s="145"/>
    </row>
    <row r="61" spans="1:7" x14ac:dyDescent="0.25">
      <c r="A61" s="1"/>
      <c r="B61" s="136"/>
      <c r="C61" s="137"/>
      <c r="D61" s="138"/>
      <c r="E61" s="139"/>
      <c r="F61" s="28" t="str">
        <f t="shared" si="1"/>
        <v/>
      </c>
      <c r="G61" s="140"/>
    </row>
    <row r="62" spans="1:7" x14ac:dyDescent="0.25">
      <c r="A62" s="1"/>
      <c r="B62" s="141"/>
      <c r="C62" s="142"/>
      <c r="D62" s="143"/>
      <c r="E62" s="144"/>
      <c r="F62" s="31" t="str">
        <f t="shared" si="1"/>
        <v/>
      </c>
      <c r="G62" s="145"/>
    </row>
    <row r="63" spans="1:7" x14ac:dyDescent="0.25">
      <c r="A63" s="1"/>
      <c r="B63" s="136"/>
      <c r="C63" s="137"/>
      <c r="D63" s="138"/>
      <c r="E63" s="139"/>
      <c r="F63" s="28" t="str">
        <f t="shared" si="1"/>
        <v/>
      </c>
      <c r="G63" s="140"/>
    </row>
    <row r="64" spans="1:7" x14ac:dyDescent="0.25">
      <c r="A64" s="1"/>
      <c r="B64" s="141"/>
      <c r="C64" s="142"/>
      <c r="D64" s="143"/>
      <c r="E64" s="144"/>
      <c r="F64" s="31" t="str">
        <f t="shared" si="1"/>
        <v/>
      </c>
      <c r="G64" s="145"/>
    </row>
    <row r="65" spans="1:7" x14ac:dyDescent="0.25">
      <c r="A65" s="1"/>
      <c r="B65" s="136"/>
      <c r="C65" s="137"/>
      <c r="D65" s="138"/>
      <c r="E65" s="139"/>
      <c r="F65" s="28" t="str">
        <f t="shared" si="1"/>
        <v/>
      </c>
      <c r="G65" s="140"/>
    </row>
    <row r="66" spans="1:7" x14ac:dyDescent="0.25">
      <c r="A66" s="1"/>
      <c r="B66" s="141"/>
      <c r="C66" s="142"/>
      <c r="D66" s="143"/>
      <c r="E66" s="144"/>
      <c r="F66" s="31" t="str">
        <f t="shared" si="1"/>
        <v/>
      </c>
      <c r="G66" s="145"/>
    </row>
    <row r="67" spans="1:7" x14ac:dyDescent="0.25">
      <c r="A67" s="1"/>
      <c r="B67" s="136"/>
      <c r="C67" s="137"/>
      <c r="D67" s="138"/>
      <c r="E67" s="139"/>
      <c r="F67" s="28" t="str">
        <f t="shared" si="1"/>
        <v/>
      </c>
      <c r="G67" s="140"/>
    </row>
    <row r="68" spans="1:7" x14ac:dyDescent="0.25">
      <c r="A68" s="1"/>
      <c r="B68" s="141"/>
      <c r="C68" s="142"/>
      <c r="D68" s="143"/>
      <c r="E68" s="144"/>
      <c r="F68" s="31" t="str">
        <f t="shared" si="1"/>
        <v/>
      </c>
      <c r="G68" s="145"/>
    </row>
    <row r="69" spans="1:7" x14ac:dyDescent="0.25">
      <c r="A69" s="1"/>
      <c r="B69" s="136"/>
      <c r="C69" s="137"/>
      <c r="D69" s="138"/>
      <c r="E69" s="139"/>
      <c r="F69" s="28" t="str">
        <f t="shared" si="1"/>
        <v/>
      </c>
      <c r="G69" s="140"/>
    </row>
    <row r="70" spans="1:7" x14ac:dyDescent="0.25">
      <c r="A70" s="1"/>
      <c r="B70" s="141"/>
      <c r="C70" s="142"/>
      <c r="D70" s="143"/>
      <c r="E70" s="144"/>
      <c r="F70" s="31" t="str">
        <f t="shared" si="1"/>
        <v/>
      </c>
      <c r="G70" s="145"/>
    </row>
    <row r="71" spans="1:7" x14ac:dyDescent="0.25">
      <c r="A71" s="1"/>
      <c r="B71" s="136"/>
      <c r="C71" s="137"/>
      <c r="D71" s="138"/>
      <c r="E71" s="139"/>
      <c r="F71" s="28" t="str">
        <f t="shared" si="1"/>
        <v/>
      </c>
      <c r="G71" s="140"/>
    </row>
    <row r="72" spans="1:7" x14ac:dyDescent="0.25">
      <c r="A72" s="1"/>
      <c r="B72" s="141"/>
      <c r="C72" s="142"/>
      <c r="D72" s="143"/>
      <c r="E72" s="144"/>
      <c r="F72" s="31" t="str">
        <f t="shared" si="1"/>
        <v/>
      </c>
      <c r="G72" s="145"/>
    </row>
    <row r="73" spans="1:7" x14ac:dyDescent="0.25">
      <c r="A73" s="1"/>
      <c r="B73" s="136"/>
      <c r="C73" s="137"/>
      <c r="D73" s="138"/>
      <c r="E73" s="139"/>
      <c r="F73" s="28" t="str">
        <f t="shared" si="1"/>
        <v/>
      </c>
      <c r="G73" s="140"/>
    </row>
    <row r="74" spans="1:7" x14ac:dyDescent="0.25">
      <c r="A74" s="1"/>
      <c r="B74" s="141"/>
      <c r="C74" s="142"/>
      <c r="D74" s="143"/>
      <c r="E74" s="144"/>
      <c r="F74" s="31" t="str">
        <f t="shared" ref="F74:F108" si="2">IFERROR(IF(D74="","",F73-D74),"")</f>
        <v/>
      </c>
      <c r="G74" s="145"/>
    </row>
    <row r="75" spans="1:7" x14ac:dyDescent="0.25">
      <c r="A75" s="1"/>
      <c r="B75" s="136"/>
      <c r="C75" s="137"/>
      <c r="D75" s="138"/>
      <c r="E75" s="139"/>
      <c r="F75" s="28" t="str">
        <f t="shared" si="2"/>
        <v/>
      </c>
      <c r="G75" s="140"/>
    </row>
    <row r="76" spans="1:7" x14ac:dyDescent="0.25">
      <c r="A76" s="1"/>
      <c r="B76" s="141"/>
      <c r="C76" s="142"/>
      <c r="D76" s="143"/>
      <c r="E76" s="144"/>
      <c r="F76" s="31" t="str">
        <f t="shared" si="2"/>
        <v/>
      </c>
      <c r="G76" s="145"/>
    </row>
    <row r="77" spans="1:7" x14ac:dyDescent="0.25">
      <c r="A77" s="1"/>
      <c r="B77" s="136"/>
      <c r="C77" s="137"/>
      <c r="D77" s="138"/>
      <c r="E77" s="139"/>
      <c r="F77" s="28" t="str">
        <f t="shared" si="2"/>
        <v/>
      </c>
      <c r="G77" s="140"/>
    </row>
    <row r="78" spans="1:7" x14ac:dyDescent="0.25">
      <c r="A78" s="1"/>
      <c r="B78" s="141"/>
      <c r="C78" s="142"/>
      <c r="D78" s="143"/>
      <c r="E78" s="144"/>
      <c r="F78" s="31" t="str">
        <f t="shared" si="2"/>
        <v/>
      </c>
      <c r="G78" s="145"/>
    </row>
    <row r="79" spans="1:7" x14ac:dyDescent="0.25">
      <c r="A79" s="1"/>
      <c r="B79" s="136"/>
      <c r="C79" s="137"/>
      <c r="D79" s="138"/>
      <c r="E79" s="139"/>
      <c r="F79" s="28" t="str">
        <f t="shared" si="2"/>
        <v/>
      </c>
      <c r="G79" s="140"/>
    </row>
    <row r="80" spans="1:7" x14ac:dyDescent="0.25">
      <c r="A80" s="1"/>
      <c r="B80" s="141"/>
      <c r="C80" s="142"/>
      <c r="D80" s="143"/>
      <c r="E80" s="144"/>
      <c r="F80" s="31" t="str">
        <f t="shared" si="2"/>
        <v/>
      </c>
      <c r="G80" s="145"/>
    </row>
    <row r="81" spans="1:7" x14ac:dyDescent="0.25">
      <c r="A81" s="1"/>
      <c r="B81" s="136"/>
      <c r="C81" s="137"/>
      <c r="D81" s="138"/>
      <c r="E81" s="139"/>
      <c r="F81" s="28" t="str">
        <f t="shared" si="2"/>
        <v/>
      </c>
      <c r="G81" s="140"/>
    </row>
    <row r="82" spans="1:7" x14ac:dyDescent="0.25">
      <c r="A82" s="1"/>
      <c r="B82" s="141"/>
      <c r="C82" s="142"/>
      <c r="D82" s="143"/>
      <c r="E82" s="144"/>
      <c r="F82" s="31" t="str">
        <f t="shared" si="2"/>
        <v/>
      </c>
      <c r="G82" s="145"/>
    </row>
    <row r="83" spans="1:7" x14ac:dyDescent="0.25">
      <c r="A83" s="1"/>
      <c r="B83" s="136"/>
      <c r="C83" s="137"/>
      <c r="D83" s="138"/>
      <c r="E83" s="139"/>
      <c r="F83" s="28" t="str">
        <f t="shared" si="2"/>
        <v/>
      </c>
      <c r="G83" s="140"/>
    </row>
    <row r="84" spans="1:7" x14ac:dyDescent="0.25">
      <c r="A84" s="1"/>
      <c r="B84" s="141"/>
      <c r="C84" s="142"/>
      <c r="D84" s="143"/>
      <c r="E84" s="144"/>
      <c r="F84" s="31" t="str">
        <f t="shared" si="2"/>
        <v/>
      </c>
      <c r="G84" s="146" t="str">
        <f>CONCATENATE("Subtotal (rows 1-75): ",TEXT(SUM(D9:D83),"$#,##0.00"))</f>
        <v>Subtotal (rows 1-75): $,000</v>
      </c>
    </row>
    <row r="85" spans="1:7" x14ac:dyDescent="0.25">
      <c r="A85" s="1"/>
      <c r="B85" s="136"/>
      <c r="C85" s="137"/>
      <c r="D85" s="138"/>
      <c r="E85" s="139"/>
      <c r="F85" s="28" t="str">
        <f t="shared" si="2"/>
        <v/>
      </c>
      <c r="G85" s="140"/>
    </row>
    <row r="86" spans="1:7" x14ac:dyDescent="0.25">
      <c r="A86" s="1"/>
      <c r="B86" s="141"/>
      <c r="C86" s="142"/>
      <c r="D86" s="143"/>
      <c r="E86" s="144"/>
      <c r="F86" s="31" t="str">
        <f t="shared" si="2"/>
        <v/>
      </c>
      <c r="G86" s="145"/>
    </row>
    <row r="87" spans="1:7" x14ac:dyDescent="0.25">
      <c r="A87" s="1"/>
      <c r="B87" s="136"/>
      <c r="C87" s="137"/>
      <c r="D87" s="138"/>
      <c r="E87" s="139"/>
      <c r="F87" s="28" t="str">
        <f t="shared" si="2"/>
        <v/>
      </c>
      <c r="G87" s="140"/>
    </row>
    <row r="88" spans="1:7" x14ac:dyDescent="0.25">
      <c r="A88" s="1"/>
      <c r="B88" s="141"/>
      <c r="C88" s="142"/>
      <c r="D88" s="143"/>
      <c r="E88" s="144"/>
      <c r="F88" s="31" t="str">
        <f t="shared" si="2"/>
        <v/>
      </c>
      <c r="G88" s="145"/>
    </row>
    <row r="89" spans="1:7" x14ac:dyDescent="0.25">
      <c r="A89" s="1"/>
      <c r="B89" s="136"/>
      <c r="C89" s="137"/>
      <c r="D89" s="138"/>
      <c r="E89" s="139"/>
      <c r="F89" s="28" t="str">
        <f t="shared" si="2"/>
        <v/>
      </c>
      <c r="G89" s="140"/>
    </row>
    <row r="90" spans="1:7" x14ac:dyDescent="0.25">
      <c r="A90" s="1"/>
      <c r="B90" s="141"/>
      <c r="C90" s="142"/>
      <c r="D90" s="143"/>
      <c r="E90" s="144"/>
      <c r="F90" s="31" t="str">
        <f t="shared" si="2"/>
        <v/>
      </c>
      <c r="G90" s="145"/>
    </row>
    <row r="91" spans="1:7" x14ac:dyDescent="0.25">
      <c r="A91" s="1"/>
      <c r="B91" s="136"/>
      <c r="C91" s="137"/>
      <c r="D91" s="138"/>
      <c r="E91" s="139"/>
      <c r="F91" s="28" t="str">
        <f t="shared" si="2"/>
        <v/>
      </c>
      <c r="G91" s="140"/>
    </row>
    <row r="92" spans="1:7" x14ac:dyDescent="0.25">
      <c r="A92" s="1"/>
      <c r="B92" s="141"/>
      <c r="C92" s="142"/>
      <c r="D92" s="143"/>
      <c r="E92" s="144"/>
      <c r="F92" s="31" t="str">
        <f t="shared" si="2"/>
        <v/>
      </c>
      <c r="G92" s="145"/>
    </row>
    <row r="93" spans="1:7" x14ac:dyDescent="0.25">
      <c r="A93" s="1"/>
      <c r="B93" s="136"/>
      <c r="C93" s="137"/>
      <c r="D93" s="138"/>
      <c r="E93" s="139"/>
      <c r="F93" s="28" t="str">
        <f t="shared" si="2"/>
        <v/>
      </c>
      <c r="G93" s="140"/>
    </row>
    <row r="94" spans="1:7" x14ac:dyDescent="0.25">
      <c r="A94" s="1"/>
      <c r="B94" s="141"/>
      <c r="C94" s="142"/>
      <c r="D94" s="143"/>
      <c r="E94" s="144"/>
      <c r="F94" s="31" t="str">
        <f t="shared" si="2"/>
        <v/>
      </c>
      <c r="G94" s="145"/>
    </row>
    <row r="95" spans="1:7" x14ac:dyDescent="0.25">
      <c r="A95" s="1"/>
      <c r="B95" s="136"/>
      <c r="C95" s="137"/>
      <c r="D95" s="138"/>
      <c r="E95" s="139"/>
      <c r="F95" s="28" t="str">
        <f t="shared" si="2"/>
        <v/>
      </c>
      <c r="G95" s="140"/>
    </row>
    <row r="96" spans="1:7" x14ac:dyDescent="0.25">
      <c r="A96" s="1"/>
      <c r="B96" s="141"/>
      <c r="C96" s="142"/>
      <c r="D96" s="143"/>
      <c r="E96" s="144"/>
      <c r="F96" s="31" t="str">
        <f t="shared" si="2"/>
        <v/>
      </c>
      <c r="G96" s="145"/>
    </row>
    <row r="97" spans="1:7" x14ac:dyDescent="0.25">
      <c r="A97" s="1"/>
      <c r="B97" s="136"/>
      <c r="C97" s="137"/>
      <c r="D97" s="138"/>
      <c r="E97" s="139"/>
      <c r="F97" s="28" t="str">
        <f t="shared" si="2"/>
        <v/>
      </c>
      <c r="G97" s="140"/>
    </row>
    <row r="98" spans="1:7" x14ac:dyDescent="0.25">
      <c r="A98" s="1"/>
      <c r="B98" s="141"/>
      <c r="C98" s="142"/>
      <c r="D98" s="143"/>
      <c r="E98" s="144"/>
      <c r="F98" s="31" t="str">
        <f t="shared" si="2"/>
        <v/>
      </c>
      <c r="G98" s="145"/>
    </row>
    <row r="99" spans="1:7" x14ac:dyDescent="0.25">
      <c r="A99" s="1"/>
      <c r="B99" s="136"/>
      <c r="C99" s="137"/>
      <c r="D99" s="138"/>
      <c r="E99" s="139"/>
      <c r="F99" s="28" t="str">
        <f t="shared" si="2"/>
        <v/>
      </c>
      <c r="G99" s="140"/>
    </row>
    <row r="100" spans="1:7" x14ac:dyDescent="0.25">
      <c r="A100" s="1"/>
      <c r="B100" s="141"/>
      <c r="C100" s="142"/>
      <c r="D100" s="143"/>
      <c r="E100" s="144"/>
      <c r="F100" s="31" t="str">
        <f t="shared" si="2"/>
        <v/>
      </c>
      <c r="G100" s="145"/>
    </row>
    <row r="101" spans="1:7" x14ac:dyDescent="0.25">
      <c r="A101" s="1"/>
      <c r="B101" s="136"/>
      <c r="C101" s="137"/>
      <c r="D101" s="138"/>
      <c r="E101" s="139"/>
      <c r="F101" s="28" t="str">
        <f t="shared" si="2"/>
        <v/>
      </c>
      <c r="G101" s="140"/>
    </row>
    <row r="102" spans="1:7" x14ac:dyDescent="0.25">
      <c r="A102" s="1"/>
      <c r="B102" s="141"/>
      <c r="C102" s="142"/>
      <c r="D102" s="143"/>
      <c r="E102" s="144"/>
      <c r="F102" s="31" t="str">
        <f t="shared" si="2"/>
        <v/>
      </c>
      <c r="G102" s="145"/>
    </row>
    <row r="103" spans="1:7" x14ac:dyDescent="0.25">
      <c r="A103" s="1"/>
      <c r="B103" s="136"/>
      <c r="C103" s="137"/>
      <c r="D103" s="138"/>
      <c r="E103" s="139"/>
      <c r="F103" s="28" t="str">
        <f t="shared" si="2"/>
        <v/>
      </c>
      <c r="G103" s="140"/>
    </row>
    <row r="104" spans="1:7" x14ac:dyDescent="0.25">
      <c r="A104" s="1"/>
      <c r="B104" s="141"/>
      <c r="C104" s="142"/>
      <c r="D104" s="143"/>
      <c r="E104" s="144"/>
      <c r="F104" s="31" t="str">
        <f t="shared" si="2"/>
        <v/>
      </c>
      <c r="G104" s="145"/>
    </row>
    <row r="105" spans="1:7" x14ac:dyDescent="0.25">
      <c r="A105" s="1"/>
      <c r="B105" s="136"/>
      <c r="C105" s="137"/>
      <c r="D105" s="138"/>
      <c r="E105" s="139"/>
      <c r="F105" s="28" t="str">
        <f t="shared" si="2"/>
        <v/>
      </c>
      <c r="G105" s="140"/>
    </row>
    <row r="106" spans="1:7" x14ac:dyDescent="0.25">
      <c r="A106" s="1"/>
      <c r="B106" s="141"/>
      <c r="C106" s="142"/>
      <c r="D106" s="143"/>
      <c r="E106" s="144"/>
      <c r="F106" s="31" t="str">
        <f t="shared" si="2"/>
        <v/>
      </c>
      <c r="G106" s="145"/>
    </row>
    <row r="107" spans="1:7" x14ac:dyDescent="0.25">
      <c r="A107" s="1"/>
      <c r="B107" s="136"/>
      <c r="C107" s="137"/>
      <c r="D107" s="138"/>
      <c r="E107" s="139"/>
      <c r="F107" s="28" t="str">
        <f t="shared" si="2"/>
        <v/>
      </c>
      <c r="G107" s="140"/>
    </row>
    <row r="108" spans="1:7" x14ac:dyDescent="0.25">
      <c r="A108" s="1"/>
      <c r="B108" s="141"/>
      <c r="C108" s="142"/>
      <c r="D108" s="143"/>
      <c r="E108" s="144"/>
      <c r="F108" s="31" t="str">
        <f t="shared" si="2"/>
        <v/>
      </c>
      <c r="G108" s="145"/>
    </row>
  </sheetData>
  <sheetProtection sheet="1" objects="1" scenarios="1"/>
  <mergeCells count="4">
    <mergeCell ref="B6:C6"/>
    <mergeCell ref="B4:G4"/>
    <mergeCell ref="B2:G3"/>
    <mergeCell ref="E6:F6"/>
  </mergeCells>
  <conditionalFormatting sqref="E9:E108">
    <cfRule type="cellIs" dxfId="1" priority="1" operator="equal">
      <formula>"Extra"</formula>
    </cfRule>
    <cfRule type="cellIs" dxfId="0" priority="2" operator="equal">
      <formula>"Lump Sum"</formula>
    </cfRule>
  </conditionalFormatting>
  <dataValidations count="1">
    <dataValidation type="list" allowBlank="1" errorTitle="Invalid Type" error="Please select: Minimum, Extra, or Lump Sum" sqref="E9:E108" xr:uid="{00000000-0002-0000-0400-000000000000}">
      <formula1>"Minimum,Extra,Lump Sum"</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Invalid Debt Name" error="Please select a debt from the Dashboard" xr:uid="{00000000-0002-0000-0400-000001000000}">
          <x14:formula1>
            <xm:f>Dashboard!B14:B28</xm:f>
          </x14:formula1>
          <xm:sqref>C9:C108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39C12"/>
  </sheetPr>
  <dimension ref="A1:C79"/>
  <sheetViews>
    <sheetView tabSelected="1" workbookViewId="0">
      <pane ySplit="4" topLeftCell="A45" activePane="bottomLeft" state="frozen"/>
      <selection pane="bottomLeft" activeCell="H74" sqref="H74"/>
    </sheetView>
  </sheetViews>
  <sheetFormatPr baseColWidth="10" defaultColWidth="9.140625" defaultRowHeight="15" x14ac:dyDescent="0.25"/>
  <cols>
    <col min="1" max="1" width="1.5703125" customWidth="1"/>
    <col min="2" max="2" width="20" customWidth="1"/>
    <col min="3" max="3" width="95.28515625" customWidth="1"/>
    <col min="4" max="4" width="3" customWidth="1"/>
  </cols>
  <sheetData>
    <row r="1" spans="1:3" x14ac:dyDescent="0.25">
      <c r="A1" s="1"/>
      <c r="B1" s="1"/>
      <c r="C1" s="1"/>
    </row>
    <row r="2" spans="1:3" ht="30" customHeight="1" x14ac:dyDescent="0.25">
      <c r="A2" s="1"/>
      <c r="B2" s="2" t="s">
        <v>106</v>
      </c>
      <c r="C2" s="3"/>
    </row>
    <row r="3" spans="1:3" x14ac:dyDescent="0.25">
      <c r="A3" s="1"/>
      <c r="B3" s="3"/>
      <c r="C3" s="3"/>
    </row>
    <row r="4" spans="1:3" x14ac:dyDescent="0.25">
      <c r="A4" s="1"/>
      <c r="B4" s="1"/>
      <c r="C4" s="1"/>
    </row>
    <row r="5" spans="1:3" ht="54.95" customHeight="1" x14ac:dyDescent="0.25">
      <c r="A5" s="1"/>
      <c r="B5" s="108" t="s">
        <v>107</v>
      </c>
      <c r="C5" s="50"/>
    </row>
    <row r="6" spans="1:3" x14ac:dyDescent="0.25">
      <c r="A6" s="1"/>
      <c r="B6" s="50"/>
      <c r="C6" s="50"/>
    </row>
    <row r="7" spans="1:3" x14ac:dyDescent="0.25">
      <c r="A7" s="1"/>
      <c r="B7" s="50"/>
      <c r="C7" s="50"/>
    </row>
    <row r="8" spans="1:3" x14ac:dyDescent="0.25">
      <c r="A8" s="1"/>
      <c r="B8" s="1"/>
      <c r="C8" s="1"/>
    </row>
    <row r="9" spans="1:3" ht="24.95" customHeight="1" x14ac:dyDescent="0.3">
      <c r="A9" s="1"/>
      <c r="B9" s="109" t="s">
        <v>108</v>
      </c>
      <c r="C9" s="40"/>
    </row>
    <row r="10" spans="1:3" x14ac:dyDescent="0.25">
      <c r="A10" s="1"/>
      <c r="B10" s="1"/>
      <c r="C10" s="1"/>
    </row>
    <row r="11" spans="1:3" ht="45" customHeight="1" x14ac:dyDescent="0.25">
      <c r="A11" s="1"/>
      <c r="B11" s="110" t="s">
        <v>109</v>
      </c>
      <c r="C11" s="111" t="s">
        <v>110</v>
      </c>
    </row>
    <row r="12" spans="1:3" x14ac:dyDescent="0.25">
      <c r="A12" s="1"/>
      <c r="B12" s="1"/>
      <c r="C12" s="1"/>
    </row>
    <row r="13" spans="1:3" ht="45" customHeight="1" x14ac:dyDescent="0.25">
      <c r="A13" s="1"/>
      <c r="B13" s="110" t="s">
        <v>111</v>
      </c>
      <c r="C13" s="111" t="s">
        <v>112</v>
      </c>
    </row>
    <row r="14" spans="1:3" x14ac:dyDescent="0.25">
      <c r="A14" s="1"/>
      <c r="B14" s="1"/>
      <c r="C14" s="1"/>
    </row>
    <row r="15" spans="1:3" ht="45" customHeight="1" x14ac:dyDescent="0.25">
      <c r="A15" s="1"/>
      <c r="B15" s="110" t="s">
        <v>113</v>
      </c>
      <c r="C15" s="111" t="s">
        <v>114</v>
      </c>
    </row>
    <row r="16" spans="1:3" x14ac:dyDescent="0.25">
      <c r="A16" s="1"/>
      <c r="B16" s="1"/>
      <c r="C16" s="1"/>
    </row>
    <row r="17" spans="1:3" ht="45" customHeight="1" x14ac:dyDescent="0.25">
      <c r="A17" s="1"/>
      <c r="B17" s="110" t="s">
        <v>115</v>
      </c>
      <c r="C17" s="111" t="s">
        <v>116</v>
      </c>
    </row>
    <row r="18" spans="1:3" x14ac:dyDescent="0.25">
      <c r="A18" s="1"/>
      <c r="B18" s="1"/>
      <c r="C18" s="1"/>
    </row>
    <row r="19" spans="1:3" ht="45" customHeight="1" x14ac:dyDescent="0.25">
      <c r="A19" s="1"/>
      <c r="B19" s="110" t="s">
        <v>117</v>
      </c>
      <c r="C19" s="111" t="s">
        <v>118</v>
      </c>
    </row>
    <row r="20" spans="1:3" x14ac:dyDescent="0.25">
      <c r="A20" s="1"/>
      <c r="B20" s="1"/>
      <c r="C20" s="1"/>
    </row>
    <row r="21" spans="1:3" ht="45" customHeight="1" x14ac:dyDescent="0.25">
      <c r="A21" s="1"/>
      <c r="B21" s="110" t="s">
        <v>119</v>
      </c>
      <c r="C21" s="111" t="s">
        <v>120</v>
      </c>
    </row>
    <row r="22" spans="1:3" x14ac:dyDescent="0.25">
      <c r="A22" s="1"/>
      <c r="B22" s="1"/>
      <c r="C22" s="1"/>
    </row>
    <row r="23" spans="1:3" ht="45" customHeight="1" x14ac:dyDescent="0.25">
      <c r="A23" s="1"/>
      <c r="B23" s="110" t="s">
        <v>121</v>
      </c>
      <c r="C23" s="111" t="s">
        <v>122</v>
      </c>
    </row>
    <row r="24" spans="1:3" x14ac:dyDescent="0.25">
      <c r="A24" s="1"/>
      <c r="B24" s="1"/>
      <c r="C24" s="1"/>
    </row>
    <row r="25" spans="1:3" x14ac:dyDescent="0.25">
      <c r="A25" s="1"/>
      <c r="B25" s="1"/>
      <c r="C25" s="1"/>
    </row>
    <row r="26" spans="1:3" x14ac:dyDescent="0.25">
      <c r="A26" s="1"/>
      <c r="B26" s="1"/>
      <c r="C26" s="1"/>
    </row>
    <row r="27" spans="1:3" ht="24.95" customHeight="1" x14ac:dyDescent="0.3">
      <c r="A27" s="1"/>
      <c r="B27" s="109" t="s">
        <v>123</v>
      </c>
      <c r="C27" s="40"/>
    </row>
    <row r="28" spans="1:3" x14ac:dyDescent="0.25">
      <c r="A28" s="1"/>
      <c r="B28" s="1"/>
      <c r="C28" s="1"/>
    </row>
    <row r="29" spans="1:3" ht="50.1" customHeight="1" x14ac:dyDescent="0.25">
      <c r="A29" s="1"/>
      <c r="B29" s="112" t="s">
        <v>33</v>
      </c>
      <c r="C29" s="113" t="s">
        <v>124</v>
      </c>
    </row>
    <row r="30" spans="1:3" x14ac:dyDescent="0.25">
      <c r="A30" s="1"/>
      <c r="B30" s="1"/>
      <c r="C30" s="1"/>
    </row>
    <row r="31" spans="1:3" ht="50.1" customHeight="1" x14ac:dyDescent="0.25">
      <c r="A31" s="1"/>
      <c r="B31" s="114" t="s">
        <v>125</v>
      </c>
      <c r="C31" s="115" t="s">
        <v>126</v>
      </c>
    </row>
    <row r="32" spans="1:3" x14ac:dyDescent="0.25">
      <c r="A32" s="1"/>
      <c r="B32" s="1"/>
      <c r="C32" s="1"/>
    </row>
    <row r="33" spans="1:3" ht="50.1" customHeight="1" x14ac:dyDescent="0.25">
      <c r="A33" s="1"/>
      <c r="B33" s="112" t="s">
        <v>127</v>
      </c>
      <c r="C33" s="113" t="s">
        <v>128</v>
      </c>
    </row>
    <row r="34" spans="1:3" x14ac:dyDescent="0.25">
      <c r="A34" s="1"/>
      <c r="B34" s="1"/>
      <c r="C34" s="1"/>
    </row>
    <row r="35" spans="1:3" ht="50.1" customHeight="1" x14ac:dyDescent="0.25">
      <c r="A35" s="1"/>
      <c r="B35" s="114" t="s">
        <v>129</v>
      </c>
      <c r="C35" s="115" t="s">
        <v>130</v>
      </c>
    </row>
    <row r="36" spans="1:3" x14ac:dyDescent="0.25">
      <c r="A36" s="1"/>
      <c r="B36" s="1"/>
      <c r="C36" s="1"/>
    </row>
    <row r="37" spans="1:3" ht="50.1" customHeight="1" x14ac:dyDescent="0.25">
      <c r="A37" s="1"/>
      <c r="B37" s="112" t="s">
        <v>131</v>
      </c>
      <c r="C37" s="113" t="s">
        <v>132</v>
      </c>
    </row>
    <row r="38" spans="1:3" x14ac:dyDescent="0.25">
      <c r="A38" s="1"/>
      <c r="B38" s="1"/>
      <c r="C38" s="1"/>
    </row>
    <row r="39" spans="1:3" ht="50.1" customHeight="1" x14ac:dyDescent="0.25">
      <c r="A39" s="1"/>
      <c r="B39" s="114" t="s">
        <v>35</v>
      </c>
      <c r="C39" s="115" t="s">
        <v>133</v>
      </c>
    </row>
    <row r="40" spans="1:3" x14ac:dyDescent="0.25">
      <c r="A40" s="1"/>
      <c r="B40" s="1"/>
      <c r="C40" s="1"/>
    </row>
    <row r="41" spans="1:3" ht="50.1" customHeight="1" x14ac:dyDescent="0.25">
      <c r="A41" s="1"/>
      <c r="B41" s="112" t="s">
        <v>134</v>
      </c>
      <c r="C41" s="113" t="s">
        <v>135</v>
      </c>
    </row>
    <row r="42" spans="1:3" x14ac:dyDescent="0.25">
      <c r="A42" s="1"/>
      <c r="B42" s="1"/>
      <c r="C42" s="1"/>
    </row>
    <row r="43" spans="1:3" x14ac:dyDescent="0.25">
      <c r="A43" s="1"/>
      <c r="B43" s="1"/>
      <c r="C43" s="1"/>
    </row>
    <row r="44" spans="1:3" ht="24.95" customHeight="1" x14ac:dyDescent="0.3">
      <c r="A44" s="1"/>
      <c r="B44" s="116" t="s">
        <v>136</v>
      </c>
      <c r="C44" s="67"/>
    </row>
    <row r="45" spans="1:3" x14ac:dyDescent="0.25">
      <c r="A45" s="1"/>
      <c r="B45" s="1"/>
      <c r="C45" s="1"/>
    </row>
    <row r="46" spans="1:3" ht="38.1" customHeight="1" x14ac:dyDescent="0.25">
      <c r="A46" s="1"/>
      <c r="B46" s="117" t="s">
        <v>137</v>
      </c>
      <c r="C46" s="118" t="s">
        <v>138</v>
      </c>
    </row>
    <row r="47" spans="1:3" ht="38.1" customHeight="1" x14ac:dyDescent="0.25">
      <c r="A47" s="1"/>
      <c r="B47" s="117" t="s">
        <v>139</v>
      </c>
      <c r="C47" s="118" t="s">
        <v>140</v>
      </c>
    </row>
    <row r="48" spans="1:3" ht="38.1" customHeight="1" x14ac:dyDescent="0.25">
      <c r="A48" s="1"/>
      <c r="B48" s="117" t="s">
        <v>141</v>
      </c>
      <c r="C48" s="118" t="s">
        <v>142</v>
      </c>
    </row>
    <row r="49" spans="1:3" ht="38.1" customHeight="1" x14ac:dyDescent="0.25">
      <c r="A49" s="1"/>
      <c r="B49" s="117" t="s">
        <v>143</v>
      </c>
      <c r="C49" s="118" t="s">
        <v>144</v>
      </c>
    </row>
    <row r="50" spans="1:3" ht="38.1" customHeight="1" x14ac:dyDescent="0.25">
      <c r="A50" s="1"/>
      <c r="B50" s="117" t="s">
        <v>145</v>
      </c>
      <c r="C50" s="118" t="s">
        <v>146</v>
      </c>
    </row>
    <row r="51" spans="1:3" ht="38.1" customHeight="1" x14ac:dyDescent="0.25">
      <c r="A51" s="1"/>
      <c r="B51" s="117" t="s">
        <v>147</v>
      </c>
      <c r="C51" s="118" t="s">
        <v>148</v>
      </c>
    </row>
    <row r="52" spans="1:3" ht="38.1" customHeight="1" x14ac:dyDescent="0.25">
      <c r="A52" s="1"/>
      <c r="B52" s="117" t="s">
        <v>149</v>
      </c>
      <c r="C52" s="118" t="s">
        <v>150</v>
      </c>
    </row>
    <row r="53" spans="1:3" ht="38.1" customHeight="1" x14ac:dyDescent="0.25">
      <c r="A53" s="1"/>
      <c r="B53" s="117" t="s">
        <v>151</v>
      </c>
      <c r="C53" s="118" t="s">
        <v>152</v>
      </c>
    </row>
    <row r="54" spans="1:3" ht="38.1" customHeight="1" x14ac:dyDescent="0.25">
      <c r="A54" s="1"/>
      <c r="B54" s="117" t="s">
        <v>153</v>
      </c>
      <c r="C54" s="118" t="s">
        <v>154</v>
      </c>
    </row>
    <row r="55" spans="1:3" ht="38.1" customHeight="1" x14ac:dyDescent="0.25">
      <c r="A55" s="1"/>
      <c r="B55" s="117" t="s">
        <v>155</v>
      </c>
      <c r="C55" s="118" t="s">
        <v>156</v>
      </c>
    </row>
    <row r="56" spans="1:3" x14ac:dyDescent="0.25">
      <c r="A56" s="1"/>
      <c r="B56" s="1"/>
      <c r="C56" s="1"/>
    </row>
    <row r="57" spans="1:3" x14ac:dyDescent="0.25">
      <c r="A57" s="1"/>
      <c r="B57" s="1"/>
      <c r="C57" s="1"/>
    </row>
    <row r="58" spans="1:3" ht="24.95" customHeight="1" x14ac:dyDescent="0.3">
      <c r="A58" s="1"/>
      <c r="B58" s="109" t="s">
        <v>157</v>
      </c>
      <c r="C58" s="40"/>
    </row>
    <row r="59" spans="1:3" x14ac:dyDescent="0.25">
      <c r="A59" s="1"/>
      <c r="B59" s="1"/>
      <c r="C59" s="1"/>
    </row>
    <row r="60" spans="1:3" x14ac:dyDescent="0.25">
      <c r="A60" s="1"/>
      <c r="B60" s="119" t="s">
        <v>158</v>
      </c>
      <c r="C60" s="50"/>
    </row>
    <row r="61" spans="1:3" ht="50.1" customHeight="1" x14ac:dyDescent="0.25">
      <c r="A61" s="1"/>
      <c r="B61" s="120" t="s">
        <v>159</v>
      </c>
      <c r="C61" s="63"/>
    </row>
    <row r="62" spans="1:3" x14ac:dyDescent="0.25">
      <c r="A62" s="1"/>
      <c r="B62" s="1"/>
      <c r="C62" s="1"/>
    </row>
    <row r="63" spans="1:3" x14ac:dyDescent="0.25">
      <c r="A63" s="1"/>
      <c r="B63" s="119" t="s">
        <v>160</v>
      </c>
      <c r="C63" s="50"/>
    </row>
    <row r="64" spans="1:3" ht="50.1" customHeight="1" x14ac:dyDescent="0.25">
      <c r="A64" s="1"/>
      <c r="B64" s="120" t="s">
        <v>161</v>
      </c>
      <c r="C64" s="63"/>
    </row>
    <row r="65" spans="1:3" x14ac:dyDescent="0.25">
      <c r="A65" s="1"/>
      <c r="B65" s="1"/>
      <c r="C65" s="1"/>
    </row>
    <row r="66" spans="1:3" x14ac:dyDescent="0.25">
      <c r="A66" s="1"/>
      <c r="B66" s="119" t="s">
        <v>162</v>
      </c>
      <c r="C66" s="50"/>
    </row>
    <row r="67" spans="1:3" ht="50.1" customHeight="1" x14ac:dyDescent="0.25">
      <c r="A67" s="1"/>
      <c r="B67" s="120" t="s">
        <v>163</v>
      </c>
      <c r="C67" s="63"/>
    </row>
    <row r="68" spans="1:3" x14ac:dyDescent="0.25">
      <c r="A68" s="1"/>
      <c r="B68" s="1"/>
      <c r="C68" s="1"/>
    </row>
    <row r="69" spans="1:3" x14ac:dyDescent="0.25">
      <c r="A69" s="1"/>
      <c r="B69" s="119" t="s">
        <v>164</v>
      </c>
      <c r="C69" s="50"/>
    </row>
    <row r="70" spans="1:3" ht="50.1" customHeight="1" x14ac:dyDescent="0.25">
      <c r="A70" s="1"/>
      <c r="B70" s="120" t="s">
        <v>165</v>
      </c>
      <c r="C70" s="63"/>
    </row>
    <row r="71" spans="1:3" x14ac:dyDescent="0.25">
      <c r="A71" s="1"/>
      <c r="B71" s="1"/>
      <c r="C71" s="1"/>
    </row>
    <row r="72" spans="1:3" x14ac:dyDescent="0.25">
      <c r="A72" s="1"/>
      <c r="B72" s="119" t="s">
        <v>166</v>
      </c>
      <c r="C72" s="50"/>
    </row>
    <row r="73" spans="1:3" ht="50.1" customHeight="1" x14ac:dyDescent="0.25">
      <c r="A73" s="1"/>
      <c r="B73" s="120" t="s">
        <v>167</v>
      </c>
      <c r="C73" s="63"/>
    </row>
    <row r="74" spans="1:3" x14ac:dyDescent="0.25">
      <c r="A74" s="1"/>
      <c r="B74" s="1"/>
      <c r="C74" s="1"/>
    </row>
    <row r="75" spans="1:3" x14ac:dyDescent="0.25">
      <c r="A75" s="1"/>
      <c r="B75" s="119" t="s">
        <v>168</v>
      </c>
      <c r="C75" s="50"/>
    </row>
    <row r="76" spans="1:3" ht="50.1" customHeight="1" x14ac:dyDescent="0.25">
      <c r="A76" s="1"/>
      <c r="B76" s="120" t="s">
        <v>169</v>
      </c>
      <c r="C76" s="63"/>
    </row>
    <row r="77" spans="1:3" x14ac:dyDescent="0.25">
      <c r="A77" s="1"/>
      <c r="B77" s="1"/>
      <c r="C77" s="1"/>
    </row>
    <row r="78" spans="1:3" x14ac:dyDescent="0.25">
      <c r="A78" s="1"/>
      <c r="B78" s="1"/>
      <c r="C78" s="1"/>
    </row>
    <row r="79" spans="1:3" ht="30" customHeight="1" x14ac:dyDescent="0.25">
      <c r="A79" s="1"/>
      <c r="B79" s="121" t="s">
        <v>170</v>
      </c>
      <c r="C79" s="67"/>
    </row>
  </sheetData>
  <sheetProtection sheet="1" objects="1" scenarios="1"/>
  <mergeCells count="19">
    <mergeCell ref="B2:C3"/>
    <mergeCell ref="B76:C76"/>
    <mergeCell ref="B5:C7"/>
    <mergeCell ref="B63:C63"/>
    <mergeCell ref="B79:C79"/>
    <mergeCell ref="B75:C75"/>
    <mergeCell ref="B73:C73"/>
    <mergeCell ref="B69:C69"/>
    <mergeCell ref="B44:C44"/>
    <mergeCell ref="B9:C9"/>
    <mergeCell ref="B64:C64"/>
    <mergeCell ref="B72:C72"/>
    <mergeCell ref="B66:C66"/>
    <mergeCell ref="B27:C27"/>
    <mergeCell ref="B58:C58"/>
    <mergeCell ref="B70:C70"/>
    <mergeCell ref="B67:C67"/>
    <mergeCell ref="B61:C61"/>
    <mergeCell ref="B60:C6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Dashboard</vt:lpstr>
      <vt:lpstr>Snowball Method</vt:lpstr>
      <vt:lpstr>Avalanche Method</vt:lpstr>
      <vt:lpstr>Method Comparison</vt:lpstr>
      <vt:lpstr>Payment Log</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Belkis Aslani</cp:lastModifiedBy>
  <dcterms:created xsi:type="dcterms:W3CDTF">2026-02-23T13:18:22Z</dcterms:created>
  <dcterms:modified xsi:type="dcterms:W3CDTF">2026-02-23T18:35:36Z</dcterms:modified>
</cp:coreProperties>
</file>