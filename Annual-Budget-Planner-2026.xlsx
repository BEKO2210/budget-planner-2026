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belki\Desktop\"/>
    </mc:Choice>
  </mc:AlternateContent>
  <xr:revisionPtr revIDLastSave="0" documentId="8_{98146A2C-BDA0-4AA7-B9DC-E8E9D9DDED00}" xr6:coauthVersionLast="47" xr6:coauthVersionMax="47" xr10:uidLastSave="{00000000-0000-0000-0000-000000000000}"/>
  <bookViews>
    <workbookView xWindow="-120" yWindow="-120" windowWidth="38640" windowHeight="21120" activeTab="4" xr2:uid="{00000000-000D-0000-FFFF-FFFF00000000}"/>
  </bookViews>
  <sheets>
    <sheet name="📊 Dashboard" sheetId="1" r:id="rId1"/>
    <sheet name="📋 Monthly Budget" sheetId="2" r:id="rId2"/>
    <sheet name="📈 Annual Summary" sheetId="3" r:id="rId3"/>
    <sheet name="⚙️ Categories" sheetId="4" r:id="rId4"/>
    <sheet name="📖 Instruction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1" i="2" l="1"/>
  <c r="D61" i="2"/>
  <c r="E831" i="2"/>
  <c r="E761" i="2"/>
  <c r="E691" i="2"/>
  <c r="E621" i="2"/>
  <c r="E551" i="2"/>
  <c r="E481" i="2"/>
  <c r="E411" i="2"/>
  <c r="E341" i="2"/>
  <c r="E271" i="2"/>
  <c r="E201" i="2"/>
  <c r="E131" i="2"/>
  <c r="G23" i="1"/>
  <c r="F23" i="1"/>
  <c r="E23" i="1"/>
  <c r="D23" i="1"/>
  <c r="C23" i="1"/>
  <c r="G22" i="1"/>
  <c r="F22" i="1"/>
  <c r="E22" i="1"/>
  <c r="D22" i="1"/>
  <c r="C22" i="1"/>
  <c r="G21" i="1"/>
  <c r="F21" i="1"/>
  <c r="E21" i="1"/>
  <c r="D21" i="1"/>
  <c r="C21" i="1"/>
  <c r="G20" i="1"/>
  <c r="F20" i="1"/>
  <c r="E20" i="1"/>
  <c r="D20" i="1"/>
  <c r="C20" i="1"/>
  <c r="G19" i="1"/>
  <c r="F19" i="1"/>
  <c r="E19" i="1"/>
  <c r="D19" i="1"/>
  <c r="C19" i="1"/>
  <c r="G18" i="1"/>
  <c r="F18" i="1"/>
  <c r="E18" i="1"/>
  <c r="D18" i="1"/>
  <c r="C18" i="1"/>
  <c r="G17" i="1"/>
  <c r="F17" i="1"/>
  <c r="E17" i="1"/>
  <c r="D17" i="1"/>
  <c r="C17" i="1"/>
  <c r="G16" i="1"/>
  <c r="F16" i="1"/>
  <c r="E16" i="1"/>
  <c r="D16" i="1"/>
  <c r="C16" i="1"/>
  <c r="G15" i="1"/>
  <c r="F15" i="1"/>
  <c r="E15" i="1"/>
  <c r="D15" i="1"/>
  <c r="C15" i="1"/>
  <c r="G14" i="1"/>
  <c r="F14" i="1"/>
  <c r="E14" i="1"/>
  <c r="D14" i="1"/>
  <c r="C14" i="1"/>
  <c r="G13" i="1"/>
  <c r="F13" i="1"/>
  <c r="E13" i="1"/>
  <c r="D13" i="1"/>
  <c r="C13" i="1"/>
  <c r="G12" i="1"/>
  <c r="F12" i="1"/>
  <c r="E12" i="1"/>
  <c r="D12" i="1"/>
  <c r="C12" i="1"/>
  <c r="G11" i="1"/>
  <c r="F11" i="1"/>
  <c r="E11" i="1"/>
  <c r="D11" i="1"/>
  <c r="C11" i="1"/>
  <c r="G6" i="1"/>
  <c r="F6" i="1"/>
  <c r="D6" i="1"/>
  <c r="B6" i="1"/>
  <c r="D55" i="4"/>
  <c r="D56" i="4" s="1"/>
  <c r="C12" i="3"/>
  <c r="F12" i="3" s="1"/>
  <c r="D11" i="3"/>
  <c r="C8" i="3"/>
  <c r="F8" i="3" s="1"/>
  <c r="D7" i="3"/>
  <c r="D837" i="2"/>
  <c r="D836" i="2"/>
  <c r="D834" i="2"/>
  <c r="D831" i="2"/>
  <c r="D835" i="2" s="1"/>
  <c r="C831" i="2"/>
  <c r="C835" i="2" s="1"/>
  <c r="E830" i="2"/>
  <c r="E829" i="2"/>
  <c r="E828" i="2"/>
  <c r="E826" i="2"/>
  <c r="E825" i="2"/>
  <c r="E824" i="2"/>
  <c r="E822" i="2"/>
  <c r="E821" i="2"/>
  <c r="E820" i="2"/>
  <c r="E818" i="2"/>
  <c r="E817" i="2"/>
  <c r="E816" i="2"/>
  <c r="E814" i="2"/>
  <c r="E813" i="2"/>
  <c r="E812" i="2"/>
  <c r="E810" i="2"/>
  <c r="E809" i="2"/>
  <c r="E808" i="2"/>
  <c r="E807" i="2"/>
  <c r="E805" i="2"/>
  <c r="E804" i="2"/>
  <c r="E803" i="2"/>
  <c r="E802" i="2"/>
  <c r="E801" i="2"/>
  <c r="E799" i="2"/>
  <c r="E798" i="2"/>
  <c r="E797" i="2"/>
  <c r="E795" i="2"/>
  <c r="E794" i="2"/>
  <c r="E793" i="2"/>
  <c r="E792" i="2"/>
  <c r="E791" i="2"/>
  <c r="E789" i="2"/>
  <c r="E788" i="2"/>
  <c r="E787" i="2"/>
  <c r="E786" i="2"/>
  <c r="E785" i="2"/>
  <c r="D780" i="2"/>
  <c r="C14" i="3" s="1"/>
  <c r="C780" i="2"/>
  <c r="C834" i="2" s="1"/>
  <c r="E779" i="2"/>
  <c r="E778" i="2"/>
  <c r="E777" i="2"/>
  <c r="E776" i="2"/>
  <c r="E775" i="2"/>
  <c r="D767" i="2"/>
  <c r="D766" i="2"/>
  <c r="D765" i="2"/>
  <c r="C765" i="2"/>
  <c r="D764" i="2"/>
  <c r="D761" i="2"/>
  <c r="D13" i="3" s="1"/>
  <c r="C761" i="2"/>
  <c r="E760" i="2"/>
  <c r="E759" i="2"/>
  <c r="E758" i="2"/>
  <c r="E756" i="2"/>
  <c r="E755" i="2"/>
  <c r="E754" i="2"/>
  <c r="E752" i="2"/>
  <c r="E751" i="2"/>
  <c r="E750" i="2"/>
  <c r="E748" i="2"/>
  <c r="E747" i="2"/>
  <c r="E746" i="2"/>
  <c r="E744" i="2"/>
  <c r="E743" i="2"/>
  <c r="E742" i="2"/>
  <c r="E740" i="2"/>
  <c r="E739" i="2"/>
  <c r="E738" i="2"/>
  <c r="E737" i="2"/>
  <c r="E735" i="2"/>
  <c r="E734" i="2"/>
  <c r="E733" i="2"/>
  <c r="E732" i="2"/>
  <c r="E731" i="2"/>
  <c r="E729" i="2"/>
  <c r="E728" i="2"/>
  <c r="E727" i="2"/>
  <c r="E725" i="2"/>
  <c r="E724" i="2"/>
  <c r="E723" i="2"/>
  <c r="E722" i="2"/>
  <c r="E721" i="2"/>
  <c r="E719" i="2"/>
  <c r="E718" i="2"/>
  <c r="E717" i="2"/>
  <c r="E716" i="2"/>
  <c r="E715" i="2"/>
  <c r="D710" i="2"/>
  <c r="C13" i="3" s="1"/>
  <c r="C710" i="2"/>
  <c r="E710" i="2" s="1"/>
  <c r="E709" i="2"/>
  <c r="E708" i="2"/>
  <c r="E707" i="2"/>
  <c r="E706" i="2"/>
  <c r="E705" i="2"/>
  <c r="D697" i="2"/>
  <c r="D696" i="2"/>
  <c r="D695" i="2"/>
  <c r="D694" i="2"/>
  <c r="C694" i="2"/>
  <c r="C697" i="2" s="1"/>
  <c r="D691" i="2"/>
  <c r="D12" i="3" s="1"/>
  <c r="C691" i="2"/>
  <c r="C695" i="2" s="1"/>
  <c r="E690" i="2"/>
  <c r="E689" i="2"/>
  <c r="E688" i="2"/>
  <c r="E686" i="2"/>
  <c r="E685" i="2"/>
  <c r="E684" i="2"/>
  <c r="E682" i="2"/>
  <c r="E681" i="2"/>
  <c r="E680" i="2"/>
  <c r="E678" i="2"/>
  <c r="E677" i="2"/>
  <c r="E676" i="2"/>
  <c r="E674" i="2"/>
  <c r="E673" i="2"/>
  <c r="E672" i="2"/>
  <c r="E670" i="2"/>
  <c r="E669" i="2"/>
  <c r="E668" i="2"/>
  <c r="E667" i="2"/>
  <c r="E665" i="2"/>
  <c r="E664" i="2"/>
  <c r="E663" i="2"/>
  <c r="E662" i="2"/>
  <c r="E661" i="2"/>
  <c r="E659" i="2"/>
  <c r="E658" i="2"/>
  <c r="E657" i="2"/>
  <c r="E655" i="2"/>
  <c r="E654" i="2"/>
  <c r="E653" i="2"/>
  <c r="E652" i="2"/>
  <c r="E651" i="2"/>
  <c r="E649" i="2"/>
  <c r="E648" i="2"/>
  <c r="E647" i="2"/>
  <c r="E646" i="2"/>
  <c r="E645" i="2"/>
  <c r="D640" i="2"/>
  <c r="C640" i="2"/>
  <c r="E640" i="2" s="1"/>
  <c r="E639" i="2"/>
  <c r="E638" i="2"/>
  <c r="E637" i="2"/>
  <c r="E636" i="2"/>
  <c r="E635" i="2"/>
  <c r="D627" i="2"/>
  <c r="D626" i="2"/>
  <c r="D625" i="2"/>
  <c r="C625" i="2"/>
  <c r="D624" i="2"/>
  <c r="D621" i="2"/>
  <c r="C621" i="2"/>
  <c r="E620" i="2"/>
  <c r="E619" i="2"/>
  <c r="E618" i="2"/>
  <c r="E616" i="2"/>
  <c r="E615" i="2"/>
  <c r="E614" i="2"/>
  <c r="E612" i="2"/>
  <c r="E611" i="2"/>
  <c r="E610" i="2"/>
  <c r="E608" i="2"/>
  <c r="E607" i="2"/>
  <c r="E606" i="2"/>
  <c r="E604" i="2"/>
  <c r="E603" i="2"/>
  <c r="E602" i="2"/>
  <c r="E600" i="2"/>
  <c r="E599" i="2"/>
  <c r="E598" i="2"/>
  <c r="E597" i="2"/>
  <c r="E595" i="2"/>
  <c r="E594" i="2"/>
  <c r="E593" i="2"/>
  <c r="E592" i="2"/>
  <c r="E591" i="2"/>
  <c r="E589" i="2"/>
  <c r="E588" i="2"/>
  <c r="E587" i="2"/>
  <c r="E585" i="2"/>
  <c r="E584" i="2"/>
  <c r="E583" i="2"/>
  <c r="E582" i="2"/>
  <c r="E581" i="2"/>
  <c r="E579" i="2"/>
  <c r="E578" i="2"/>
  <c r="E577" i="2"/>
  <c r="E576" i="2"/>
  <c r="E575" i="2"/>
  <c r="D570" i="2"/>
  <c r="C11" i="3" s="1"/>
  <c r="C570" i="2"/>
  <c r="E570" i="2" s="1"/>
  <c r="E569" i="2"/>
  <c r="E568" i="2"/>
  <c r="E567" i="2"/>
  <c r="E566" i="2"/>
  <c r="E565" i="2"/>
  <c r="D557" i="2"/>
  <c r="D556" i="2"/>
  <c r="D555" i="2"/>
  <c r="D554" i="2"/>
  <c r="C554" i="2"/>
  <c r="C557" i="2" s="1"/>
  <c r="D551" i="2"/>
  <c r="D10" i="3" s="1"/>
  <c r="C551" i="2"/>
  <c r="C555" i="2" s="1"/>
  <c r="E550" i="2"/>
  <c r="E549" i="2"/>
  <c r="E548" i="2"/>
  <c r="E546" i="2"/>
  <c r="E545" i="2"/>
  <c r="E544" i="2"/>
  <c r="E542" i="2"/>
  <c r="E541" i="2"/>
  <c r="E540" i="2"/>
  <c r="E538" i="2"/>
  <c r="E537" i="2"/>
  <c r="E536" i="2"/>
  <c r="E534" i="2"/>
  <c r="E533" i="2"/>
  <c r="E532" i="2"/>
  <c r="E530" i="2"/>
  <c r="E529" i="2"/>
  <c r="E528" i="2"/>
  <c r="E527" i="2"/>
  <c r="E525" i="2"/>
  <c r="E524" i="2"/>
  <c r="E523" i="2"/>
  <c r="E522" i="2"/>
  <c r="E521" i="2"/>
  <c r="E519" i="2"/>
  <c r="E518" i="2"/>
  <c r="E517" i="2"/>
  <c r="E515" i="2"/>
  <c r="E514" i="2"/>
  <c r="E513" i="2"/>
  <c r="E512" i="2"/>
  <c r="E511" i="2"/>
  <c r="E509" i="2"/>
  <c r="E508" i="2"/>
  <c r="E507" i="2"/>
  <c r="E506" i="2"/>
  <c r="E505" i="2"/>
  <c r="D500" i="2"/>
  <c r="C10" i="3" s="1"/>
  <c r="C500" i="2"/>
  <c r="E500" i="2" s="1"/>
  <c r="E499" i="2"/>
  <c r="E498" i="2"/>
  <c r="E497" i="2"/>
  <c r="E496" i="2"/>
  <c r="E495" i="2"/>
  <c r="D487" i="2"/>
  <c r="D486" i="2"/>
  <c r="D485" i="2"/>
  <c r="C485" i="2"/>
  <c r="D484" i="2"/>
  <c r="D481" i="2"/>
  <c r="D9" i="3" s="1"/>
  <c r="C481" i="2"/>
  <c r="E480" i="2"/>
  <c r="E479" i="2"/>
  <c r="E478" i="2"/>
  <c r="E476" i="2"/>
  <c r="E475" i="2"/>
  <c r="E474" i="2"/>
  <c r="E472" i="2"/>
  <c r="E471" i="2"/>
  <c r="E470" i="2"/>
  <c r="E468" i="2"/>
  <c r="E467" i="2"/>
  <c r="E466" i="2"/>
  <c r="E464" i="2"/>
  <c r="E463" i="2"/>
  <c r="E462" i="2"/>
  <c r="E460" i="2"/>
  <c r="E459" i="2"/>
  <c r="E458" i="2"/>
  <c r="E457" i="2"/>
  <c r="E455" i="2"/>
  <c r="E454" i="2"/>
  <c r="E453" i="2"/>
  <c r="E452" i="2"/>
  <c r="E451" i="2"/>
  <c r="E449" i="2"/>
  <c r="E448" i="2"/>
  <c r="E447" i="2"/>
  <c r="E445" i="2"/>
  <c r="E444" i="2"/>
  <c r="E443" i="2"/>
  <c r="E442" i="2"/>
  <c r="E441" i="2"/>
  <c r="E439" i="2"/>
  <c r="E438" i="2"/>
  <c r="E437" i="2"/>
  <c r="E436" i="2"/>
  <c r="E435" i="2"/>
  <c r="D430" i="2"/>
  <c r="C9" i="3" s="1"/>
  <c r="C430" i="2"/>
  <c r="E430" i="2" s="1"/>
  <c r="E429" i="2"/>
  <c r="E428" i="2"/>
  <c r="E427" i="2"/>
  <c r="E426" i="2"/>
  <c r="E425" i="2"/>
  <c r="D417" i="2"/>
  <c r="D416" i="2"/>
  <c r="D415" i="2"/>
  <c r="D414" i="2"/>
  <c r="C414" i="2"/>
  <c r="C417" i="2" s="1"/>
  <c r="D411" i="2"/>
  <c r="D8" i="3" s="1"/>
  <c r="C411" i="2"/>
  <c r="C415" i="2" s="1"/>
  <c r="E410" i="2"/>
  <c r="E409" i="2"/>
  <c r="E408" i="2"/>
  <c r="E406" i="2"/>
  <c r="E405" i="2"/>
  <c r="E404" i="2"/>
  <c r="E402" i="2"/>
  <c r="E401" i="2"/>
  <c r="E400" i="2"/>
  <c r="E398" i="2"/>
  <c r="E397" i="2"/>
  <c r="E396" i="2"/>
  <c r="E394" i="2"/>
  <c r="E393" i="2"/>
  <c r="E392" i="2"/>
  <c r="E390" i="2"/>
  <c r="E389" i="2"/>
  <c r="E388" i="2"/>
  <c r="E387" i="2"/>
  <c r="E385" i="2"/>
  <c r="E384" i="2"/>
  <c r="E383" i="2"/>
  <c r="E382" i="2"/>
  <c r="E381" i="2"/>
  <c r="E379" i="2"/>
  <c r="E378" i="2"/>
  <c r="E377" i="2"/>
  <c r="E375" i="2"/>
  <c r="E374" i="2"/>
  <c r="E373" i="2"/>
  <c r="E372" i="2"/>
  <c r="E371" i="2"/>
  <c r="E369" i="2"/>
  <c r="E368" i="2"/>
  <c r="E367" i="2"/>
  <c r="E366" i="2"/>
  <c r="E365" i="2"/>
  <c r="D360" i="2"/>
  <c r="C360" i="2"/>
  <c r="E360" i="2" s="1"/>
  <c r="E359" i="2"/>
  <c r="E358" i="2"/>
  <c r="E357" i="2"/>
  <c r="E356" i="2"/>
  <c r="E355" i="2"/>
  <c r="D347" i="2"/>
  <c r="D346" i="2"/>
  <c r="D345" i="2"/>
  <c r="C345" i="2"/>
  <c r="D344" i="2"/>
  <c r="D341" i="2"/>
  <c r="C341" i="2"/>
  <c r="E340" i="2"/>
  <c r="E339" i="2"/>
  <c r="E338" i="2"/>
  <c r="E336" i="2"/>
  <c r="E335" i="2"/>
  <c r="E334" i="2"/>
  <c r="E332" i="2"/>
  <c r="E331" i="2"/>
  <c r="E330" i="2"/>
  <c r="E328" i="2"/>
  <c r="E327" i="2"/>
  <c r="E326" i="2"/>
  <c r="E324" i="2"/>
  <c r="E323" i="2"/>
  <c r="E322" i="2"/>
  <c r="E320" i="2"/>
  <c r="E319" i="2"/>
  <c r="E318" i="2"/>
  <c r="E317" i="2"/>
  <c r="E315" i="2"/>
  <c r="E314" i="2"/>
  <c r="E313" i="2"/>
  <c r="E312" i="2"/>
  <c r="E311" i="2"/>
  <c r="E309" i="2"/>
  <c r="E308" i="2"/>
  <c r="E307" i="2"/>
  <c r="E305" i="2"/>
  <c r="E304" i="2"/>
  <c r="E303" i="2"/>
  <c r="E302" i="2"/>
  <c r="E301" i="2"/>
  <c r="E299" i="2"/>
  <c r="E298" i="2"/>
  <c r="E297" i="2"/>
  <c r="E296" i="2"/>
  <c r="E295" i="2"/>
  <c r="D290" i="2"/>
  <c r="C7" i="3" s="1"/>
  <c r="C290" i="2"/>
  <c r="E290" i="2" s="1"/>
  <c r="E289" i="2"/>
  <c r="E288" i="2"/>
  <c r="E287" i="2"/>
  <c r="E286" i="2"/>
  <c r="E285" i="2"/>
  <c r="D276" i="2"/>
  <c r="D275" i="2"/>
  <c r="D274" i="2"/>
  <c r="C274" i="2"/>
  <c r="C277" i="2" s="1"/>
  <c r="D271" i="2"/>
  <c r="D6" i="3" s="1"/>
  <c r="C271" i="2"/>
  <c r="C275" i="2" s="1"/>
  <c r="E270" i="2"/>
  <c r="E269" i="2"/>
  <c r="E268" i="2"/>
  <c r="E266" i="2"/>
  <c r="E265" i="2"/>
  <c r="E264" i="2"/>
  <c r="E262" i="2"/>
  <c r="E261" i="2"/>
  <c r="E260" i="2"/>
  <c r="E258" i="2"/>
  <c r="E257" i="2"/>
  <c r="E256" i="2"/>
  <c r="E254" i="2"/>
  <c r="E253" i="2"/>
  <c r="E252" i="2"/>
  <c r="E250" i="2"/>
  <c r="E249" i="2"/>
  <c r="E248" i="2"/>
  <c r="E247" i="2"/>
  <c r="E245" i="2"/>
  <c r="E244" i="2"/>
  <c r="E243" i="2"/>
  <c r="E242" i="2"/>
  <c r="E241" i="2"/>
  <c r="E239" i="2"/>
  <c r="E238" i="2"/>
  <c r="E237" i="2"/>
  <c r="E235" i="2"/>
  <c r="E234" i="2"/>
  <c r="E233" i="2"/>
  <c r="E232" i="2"/>
  <c r="E231" i="2"/>
  <c r="E229" i="2"/>
  <c r="E228" i="2"/>
  <c r="E227" i="2"/>
  <c r="E226" i="2"/>
  <c r="E225" i="2"/>
  <c r="D220" i="2"/>
  <c r="C6" i="3" s="1"/>
  <c r="C220" i="2"/>
  <c r="E220" i="2" s="1"/>
  <c r="E219" i="2"/>
  <c r="E218" i="2"/>
  <c r="E217" i="2"/>
  <c r="E216" i="2"/>
  <c r="E215" i="2"/>
  <c r="D207" i="2"/>
  <c r="D205" i="2"/>
  <c r="C205" i="2"/>
  <c r="D201" i="2"/>
  <c r="D5" i="3" s="1"/>
  <c r="C201" i="2"/>
  <c r="E200" i="2"/>
  <c r="E199" i="2"/>
  <c r="E198" i="2"/>
  <c r="E196" i="2"/>
  <c r="E195" i="2"/>
  <c r="E194" i="2"/>
  <c r="E192" i="2"/>
  <c r="E191" i="2"/>
  <c r="E190" i="2"/>
  <c r="E188" i="2"/>
  <c r="E187" i="2"/>
  <c r="E186" i="2"/>
  <c r="E184" i="2"/>
  <c r="E183" i="2"/>
  <c r="E182" i="2"/>
  <c r="E180" i="2"/>
  <c r="E179" i="2"/>
  <c r="E178" i="2"/>
  <c r="E177" i="2"/>
  <c r="E175" i="2"/>
  <c r="E174" i="2"/>
  <c r="E173" i="2"/>
  <c r="E172" i="2"/>
  <c r="E171" i="2"/>
  <c r="E169" i="2"/>
  <c r="E168" i="2"/>
  <c r="E167" i="2"/>
  <c r="E165" i="2"/>
  <c r="E164" i="2"/>
  <c r="E163" i="2"/>
  <c r="E162" i="2"/>
  <c r="E161" i="2"/>
  <c r="E159" i="2"/>
  <c r="E158" i="2"/>
  <c r="E157" i="2"/>
  <c r="E156" i="2"/>
  <c r="E155" i="2"/>
  <c r="D150" i="2"/>
  <c r="C5" i="3" s="1"/>
  <c r="C150" i="2"/>
  <c r="E150" i="2" s="1"/>
  <c r="E149" i="2"/>
  <c r="E148" i="2"/>
  <c r="E147" i="2"/>
  <c r="E146" i="2"/>
  <c r="E145" i="2"/>
  <c r="C134" i="2"/>
  <c r="C137" i="2" s="1"/>
  <c r="D131" i="2"/>
  <c r="D4" i="3" s="1"/>
  <c r="C131" i="2"/>
  <c r="C135" i="2" s="1"/>
  <c r="E130" i="2"/>
  <c r="E129" i="2"/>
  <c r="E128" i="2"/>
  <c r="E126" i="2"/>
  <c r="E125" i="2"/>
  <c r="E124" i="2"/>
  <c r="E122" i="2"/>
  <c r="E121" i="2"/>
  <c r="E120" i="2"/>
  <c r="E118" i="2"/>
  <c r="E117" i="2"/>
  <c r="E116" i="2"/>
  <c r="E114" i="2"/>
  <c r="E113" i="2"/>
  <c r="E112" i="2"/>
  <c r="E110" i="2"/>
  <c r="E109" i="2"/>
  <c r="E108" i="2"/>
  <c r="E107" i="2"/>
  <c r="E105" i="2"/>
  <c r="E104" i="2"/>
  <c r="E103" i="2"/>
  <c r="E102" i="2"/>
  <c r="E101" i="2"/>
  <c r="E99" i="2"/>
  <c r="E98" i="2"/>
  <c r="E97" i="2"/>
  <c r="E95" i="2"/>
  <c r="E94" i="2"/>
  <c r="E93" i="2"/>
  <c r="E92" i="2"/>
  <c r="E91" i="2"/>
  <c r="E89" i="2"/>
  <c r="E88" i="2"/>
  <c r="E87" i="2"/>
  <c r="E86" i="2"/>
  <c r="E85" i="2"/>
  <c r="D80" i="2"/>
  <c r="D137" i="2" s="1"/>
  <c r="C80" i="2"/>
  <c r="E79" i="2"/>
  <c r="E78" i="2"/>
  <c r="E77" i="2"/>
  <c r="E76" i="2"/>
  <c r="E75" i="2"/>
  <c r="D67" i="2"/>
  <c r="D66" i="2"/>
  <c r="D65" i="2"/>
  <c r="C65" i="2"/>
  <c r="D64" i="2"/>
  <c r="D3" i="3"/>
  <c r="C61" i="2"/>
  <c r="E60" i="2"/>
  <c r="E59" i="2"/>
  <c r="E58" i="2"/>
  <c r="E56" i="2"/>
  <c r="E55" i="2"/>
  <c r="E54" i="2"/>
  <c r="E52" i="2"/>
  <c r="E51" i="2"/>
  <c r="E50" i="2"/>
  <c r="E48" i="2"/>
  <c r="E47" i="2"/>
  <c r="E46" i="2"/>
  <c r="E44" i="2"/>
  <c r="E43" i="2"/>
  <c r="E42" i="2"/>
  <c r="E40" i="2"/>
  <c r="E39" i="2"/>
  <c r="E38" i="2"/>
  <c r="E37" i="2"/>
  <c r="E35" i="2"/>
  <c r="E34" i="2"/>
  <c r="E33" i="2"/>
  <c r="E32" i="2"/>
  <c r="E31" i="2"/>
  <c r="E29" i="2"/>
  <c r="E28" i="2"/>
  <c r="E27" i="2"/>
  <c r="E25" i="2"/>
  <c r="E24" i="2"/>
  <c r="E23" i="2"/>
  <c r="E22" i="2"/>
  <c r="E21" i="2"/>
  <c r="E19" i="2"/>
  <c r="E18" i="2"/>
  <c r="E17" i="2"/>
  <c r="E16" i="2"/>
  <c r="E15" i="2"/>
  <c r="D10" i="2"/>
  <c r="C3" i="3" s="1"/>
  <c r="C10" i="2"/>
  <c r="E10" i="2" s="1"/>
  <c r="E9" i="2"/>
  <c r="E8" i="2"/>
  <c r="E7" i="2"/>
  <c r="E6" i="2"/>
  <c r="E5" i="2"/>
  <c r="D204" i="2" l="1"/>
  <c r="D206" i="2"/>
  <c r="D135" i="2"/>
  <c r="D134" i="2"/>
  <c r="C4" i="3"/>
  <c r="D136" i="2"/>
  <c r="E22" i="3"/>
  <c r="C15" i="3"/>
  <c r="C22" i="3"/>
  <c r="F3" i="3"/>
  <c r="E3" i="3"/>
  <c r="C16" i="3"/>
  <c r="F10" i="3"/>
  <c r="E10" i="3"/>
  <c r="E5" i="3"/>
  <c r="F5" i="3" s="1"/>
  <c r="F6" i="3"/>
  <c r="E6" i="3"/>
  <c r="F13" i="3"/>
  <c r="E13" i="3"/>
  <c r="F9" i="3"/>
  <c r="E9" i="3"/>
  <c r="F11" i="3"/>
  <c r="E11" i="3"/>
  <c r="F7" i="3"/>
  <c r="E7" i="3"/>
  <c r="C837" i="2"/>
  <c r="C836" i="2"/>
  <c r="D15" i="3"/>
  <c r="F14" i="3"/>
  <c r="C136" i="2"/>
  <c r="C416" i="2"/>
  <c r="E80" i="2"/>
  <c r="D277" i="2"/>
  <c r="E780" i="2"/>
  <c r="E12" i="3"/>
  <c r="C276" i="2"/>
  <c r="C696" i="2"/>
  <c r="C64" i="2"/>
  <c r="C204" i="2"/>
  <c r="C344" i="2"/>
  <c r="C484" i="2"/>
  <c r="C624" i="2"/>
  <c r="C764" i="2"/>
  <c r="E4" i="3"/>
  <c r="D14" i="3"/>
  <c r="E8" i="3"/>
  <c r="C556" i="2"/>
  <c r="F4" i="3" l="1"/>
  <c r="C626" i="2"/>
  <c r="C627" i="2"/>
  <c r="E14" i="3"/>
  <c r="E20" i="3" s="1"/>
  <c r="G3" i="3"/>
  <c r="G4" i="3" s="1"/>
  <c r="G5" i="3" s="1"/>
  <c r="G6" i="3" s="1"/>
  <c r="G7" i="3" s="1"/>
  <c r="G8" i="3" s="1"/>
  <c r="G9" i="3" s="1"/>
  <c r="G10" i="3" s="1"/>
  <c r="G11" i="3" s="1"/>
  <c r="G12" i="3" s="1"/>
  <c r="G13" i="3" s="1"/>
  <c r="D16" i="3"/>
  <c r="C766" i="2"/>
  <c r="C767" i="2"/>
  <c r="C487" i="2"/>
  <c r="C486" i="2"/>
  <c r="C346" i="2"/>
  <c r="C347" i="2"/>
  <c r="C207" i="2"/>
  <c r="C206" i="2"/>
  <c r="C21" i="3"/>
  <c r="C66" i="2"/>
  <c r="C67" i="2"/>
  <c r="E15" i="3"/>
  <c r="E21" i="3"/>
  <c r="F15" i="3" l="1"/>
  <c r="E16" i="3"/>
  <c r="F16" i="3" s="1"/>
  <c r="G14" i="3"/>
  <c r="G15" i="3" s="1"/>
  <c r="C19" i="3"/>
  <c r="E19" i="3"/>
  <c r="C20" i="3"/>
</calcChain>
</file>

<file path=xl/sharedStrings.xml><?xml version="1.0" encoding="utf-8"?>
<sst xmlns="http://schemas.openxmlformats.org/spreadsheetml/2006/main" count="1045" uniqueCount="219">
  <si>
    <t>ANNUAL BUDGET PLANNER 2026</t>
  </si>
  <si>
    <t>Month</t>
  </si>
  <si>
    <t>Income</t>
  </si>
  <si>
    <t>Expenses</t>
  </si>
  <si>
    <t>Net</t>
  </si>
  <si>
    <t>Savings Rate</t>
  </si>
  <si>
    <t>Cumulative Savings</t>
  </si>
  <si>
    <t>January</t>
  </si>
  <si>
    <t>February</t>
  </si>
  <si>
    <t>March</t>
  </si>
  <si>
    <t>April</t>
  </si>
  <si>
    <t>May</t>
  </si>
  <si>
    <t>June</t>
  </si>
  <si>
    <t>July</t>
  </si>
  <si>
    <t>August</t>
  </si>
  <si>
    <t>September</t>
  </si>
  <si>
    <t>October</t>
  </si>
  <si>
    <t>November</t>
  </si>
  <si>
    <t>December</t>
  </si>
  <si>
    <t>YEAR TOTAL</t>
  </si>
  <si>
    <t>Category</t>
  </si>
  <si>
    <t>JANUARY 2026</t>
  </si>
  <si>
    <t>INCOME</t>
  </si>
  <si>
    <t>Budgeted</t>
  </si>
  <si>
    <t>Actual</t>
  </si>
  <si>
    <t>Difference</t>
  </si>
  <si>
    <t>Salary/Wages</t>
  </si>
  <si>
    <t>Side Income</t>
  </si>
  <si>
    <t>Freelance/Business</t>
  </si>
  <si>
    <t>Investment Income</t>
  </si>
  <si>
    <t>Other Income</t>
  </si>
  <si>
    <t>TOTAL INCOME</t>
  </si>
  <si>
    <t>EXPENSES</t>
  </si>
  <si>
    <t>🏠 HOUSING</t>
  </si>
  <si>
    <t xml:space="preserve">   Rent/Mortgage</t>
  </si>
  <si>
    <t xml:space="preserve">   Home Insurance</t>
  </si>
  <si>
    <t xml:space="preserve">   Property Tax</t>
  </si>
  <si>
    <t xml:space="preserve">   HOA Fees</t>
  </si>
  <si>
    <t xml:space="preserve">   Maintenance/Repairs</t>
  </si>
  <si>
    <t>🚗 TRANSPORTATION</t>
  </si>
  <si>
    <t xml:space="preserve">   Car Payment</t>
  </si>
  <si>
    <t xml:space="preserve">   Gas/Fuel</t>
  </si>
  <si>
    <t xml:space="preserve">   Auto Insurance</t>
  </si>
  <si>
    <t xml:space="preserve">   Car Maintenance</t>
  </si>
  <si>
    <t xml:space="preserve">   Public Transit/Rideshare</t>
  </si>
  <si>
    <t>🛒 GROCERIES &amp; FOOD</t>
  </si>
  <si>
    <t xml:space="preserve">   Groceries</t>
  </si>
  <si>
    <t xml:space="preserve">   Dining Out</t>
  </si>
  <si>
    <t xml:space="preserve">   Coffee/Snacks</t>
  </si>
  <si>
    <t>💡 UTILITIES</t>
  </si>
  <si>
    <t xml:space="preserve">   Electric</t>
  </si>
  <si>
    <t xml:space="preserve">   Gas/Heating</t>
  </si>
  <si>
    <t xml:space="preserve">   Water/Sewer</t>
  </si>
  <si>
    <t xml:space="preserve">   Internet</t>
  </si>
  <si>
    <t xml:space="preserve">   Phone</t>
  </si>
  <si>
    <t>🏥 HEALTH</t>
  </si>
  <si>
    <t xml:space="preserve">   Health Insurance</t>
  </si>
  <si>
    <t xml:space="preserve">   Medications</t>
  </si>
  <si>
    <t xml:space="preserve">   Doctor/Dental</t>
  </si>
  <si>
    <t xml:space="preserve">   Gym/Fitness</t>
  </si>
  <si>
    <t>🎓 EDUCATION</t>
  </si>
  <si>
    <t xml:space="preserve">   Tuition/Student Loans</t>
  </si>
  <si>
    <t xml:space="preserve">   Books/Supplies</t>
  </si>
  <si>
    <t xml:space="preserve">   Online Courses</t>
  </si>
  <si>
    <t>🛍️ PERSONAL</t>
  </si>
  <si>
    <t xml:space="preserve">   Clothing</t>
  </si>
  <si>
    <t xml:space="preserve">   Personal Care</t>
  </si>
  <si>
    <t xml:space="preserve">   Subscriptions</t>
  </si>
  <si>
    <t>🎉 ENTERTAINMENT</t>
  </si>
  <si>
    <t xml:space="preserve">   Streaming Services</t>
  </si>
  <si>
    <t xml:space="preserve">   Hobbies</t>
  </si>
  <si>
    <t xml:space="preserve">   Events/Outings</t>
  </si>
  <si>
    <t>💰 SAVINGS &amp; DEBT</t>
  </si>
  <si>
    <t xml:space="preserve">   Emergency Fund</t>
  </si>
  <si>
    <t xml:space="preserve">   Investments/Retirement</t>
  </si>
  <si>
    <t xml:space="preserve">   Debt Payments</t>
  </si>
  <si>
    <t>📦 OTHER</t>
  </si>
  <si>
    <t xml:space="preserve">   Gifts</t>
  </si>
  <si>
    <t xml:space="preserve">   Donations/Charity</t>
  </si>
  <si>
    <t xml:space="preserve">   Miscellaneous</t>
  </si>
  <si>
    <t>TOTAL EXPENSES</t>
  </si>
  <si>
    <t>JANUARY SUMMARY</t>
  </si>
  <si>
    <t>Total Income</t>
  </si>
  <si>
    <t>Total Expenses</t>
  </si>
  <si>
    <t>Net (Income - Expenses)</t>
  </si>
  <si>
    <t>FEBRUARY 2026</t>
  </si>
  <si>
    <t>FEBRUARY SUMMARY</t>
  </si>
  <si>
    <t>MARCH 2026</t>
  </si>
  <si>
    <t>MARCH SUMMARY</t>
  </si>
  <si>
    <t>APRIL 2026</t>
  </si>
  <si>
    <t>APRIL SUMMARY</t>
  </si>
  <si>
    <t>MAY 2026</t>
  </si>
  <si>
    <t>MAY SUMMARY</t>
  </si>
  <si>
    <t>JUNE 2026</t>
  </si>
  <si>
    <t>JUNE SUMMARY</t>
  </si>
  <si>
    <t>JULY 2026</t>
  </si>
  <si>
    <t>JULY SUMMARY</t>
  </si>
  <si>
    <t>AUGUST 2026</t>
  </si>
  <si>
    <t>AUGUST SUMMARY</t>
  </si>
  <si>
    <t>SEPTEMBER 2026</t>
  </si>
  <si>
    <t>SEPTEMBER SUMMARY</t>
  </si>
  <si>
    <t>OCTOBER 2026</t>
  </si>
  <si>
    <t>OCTOBER SUMMARY</t>
  </si>
  <si>
    <t>NOVEMBER 2026</t>
  </si>
  <si>
    <t>NOVEMBER SUMMARY</t>
  </si>
  <si>
    <t>DECEMBER 2026</t>
  </si>
  <si>
    <t>DECEMBER SUMMARY</t>
  </si>
  <si>
    <t>ANNUAL SUMMARY 2026</t>
  </si>
  <si>
    <t>Net Savings</t>
  </si>
  <si>
    <t>MONTHLY AVERAGE</t>
  </si>
  <si>
    <t>BEST &amp; WORST MONTHS</t>
  </si>
  <si>
    <t>Best Savings Month</t>
  </si>
  <si>
    <t>Worst Savings Month</t>
  </si>
  <si>
    <t>Highest Spending Month</t>
  </si>
  <si>
    <t>Highest Income Month</t>
  </si>
  <si>
    <t>EXPENSE CATEGORIES &amp; BUDGET SETTINGS</t>
  </si>
  <si>
    <t>Customize your expense categories below. Edit category names, set monthly budgets, and mark priority levels. These guide your monthly tracking on the Monthly Budget tab.</t>
  </si>
  <si>
    <t>PRIORITY LEGEND:</t>
  </si>
  <si>
    <t>Need = Essential</t>
  </si>
  <si>
    <t>Want = Optional</t>
  </si>
  <si>
    <t>Save = Savings/Investment</t>
  </si>
  <si>
    <t>#</t>
  </si>
  <si>
    <t>Category Name</t>
  </si>
  <si>
    <t>Monthly Budget</t>
  </si>
  <si>
    <t>Priority</t>
  </si>
  <si>
    <t>Notes</t>
  </si>
  <si>
    <t>Need</t>
  </si>
  <si>
    <t>Rent/Mortgage</t>
  </si>
  <si>
    <t>Home Insurance</t>
  </si>
  <si>
    <t>Property Tax</t>
  </si>
  <si>
    <t>HOA Fees</t>
  </si>
  <si>
    <t>Maintenance/Repairs</t>
  </si>
  <si>
    <t>Car Payment</t>
  </si>
  <si>
    <t>Gas/Fuel</t>
  </si>
  <si>
    <t>Auto Insurance</t>
  </si>
  <si>
    <t>Car Maintenance</t>
  </si>
  <si>
    <t>Public Transit/Rideshare</t>
  </si>
  <si>
    <t>Groceries</t>
  </si>
  <si>
    <t>Dining Out</t>
  </si>
  <si>
    <t>Coffee/Snacks</t>
  </si>
  <si>
    <t>Electric</t>
  </si>
  <si>
    <t>Gas/Heating</t>
  </si>
  <si>
    <t>Water/Sewer</t>
  </si>
  <si>
    <t>Internet</t>
  </si>
  <si>
    <t>Phone</t>
  </si>
  <si>
    <t>Health Insurance</t>
  </si>
  <si>
    <t>Medications</t>
  </si>
  <si>
    <t>Doctor/Dental</t>
  </si>
  <si>
    <t>Gym/Fitness</t>
  </si>
  <si>
    <t>Tuition/Student Loans</t>
  </si>
  <si>
    <t>Books/Supplies</t>
  </si>
  <si>
    <t>Online Courses</t>
  </si>
  <si>
    <t>Want</t>
  </si>
  <si>
    <t>Clothing</t>
  </si>
  <si>
    <t>Personal Care</t>
  </si>
  <si>
    <t>Subscriptions</t>
  </si>
  <si>
    <t>Streaming Services</t>
  </si>
  <si>
    <t>Hobbies</t>
  </si>
  <si>
    <t>Events/Outings</t>
  </si>
  <si>
    <t>Save</t>
  </si>
  <si>
    <t>Emergency Fund</t>
  </si>
  <si>
    <t>Investments/Retirement</t>
  </si>
  <si>
    <t>Debt Payments</t>
  </si>
  <si>
    <t>Gifts</t>
  </si>
  <si>
    <t>Donations/Charity</t>
  </si>
  <si>
    <t>Miscellaneous</t>
  </si>
  <si>
    <t>TOTAL MONTHLY BUDGET</t>
  </si>
  <si>
    <t>TOTAL ANNUAL BUDGET</t>
  </si>
  <si>
    <t>Instructions &amp; Getting Started Guide</t>
  </si>
  <si>
    <t>WELCOME</t>
  </si>
  <si>
    <t>Thank you for choosing the Annual Budget Planner 2026! This professionally designed spreadsheet will help you take control of your finances, track every dollar, and achieve your savings goals. Whether you are paying off debt, saving for a big purchase, or simply want to understand where your money goes, this planner has you covered.</t>
  </si>
  <si>
    <t>GETTING STARTED - STEP BY STEP</t>
  </si>
  <si>
    <t>Step 1: Make a Copy</t>
  </si>
  <si>
    <t>If using Google Sheets: File &gt; Make a Copy. If using Excel: File &gt; Save As. This ensures you always have a clean original template.</t>
  </si>
  <si>
    <t>Step 2: Set Your Categories</t>
  </si>
  <si>
    <t>Go to the Categories tab. Review the pre-filled expense categories and monthly budgets. Edit category names and budget amounts to match your personal spending patterns.</t>
  </si>
  <si>
    <t>Step 3: Plan Your January Budget</t>
  </si>
  <si>
    <t>Go to the Monthly Budget tab. For January, enter your expected income in the 'Budgeted' column. Then enter your planned spending for each expense category in the 'Budgeted' column.</t>
  </si>
  <si>
    <t>Step 4: Track Actual Spending</t>
  </si>
  <si>
    <t>As the month progresses, enter your actual income and expenses in the 'Actual' column. The 'Difference' column will automatically calculate whether you are over or under budget.</t>
  </si>
  <si>
    <t>Step 5: Review Your Dashboard</t>
  </si>
  <si>
    <t>Visit the Dashboard tab to see your KPI cards (total income, expenses, net savings, savings rate). The monthly overview table updates automatically as you enter data.</t>
  </si>
  <si>
    <t>Step 6: Check the Annual Summary</t>
  </si>
  <si>
    <t>The Annual Summary tab aggregates all 12 months, showing trends, totals, averages, and identifying your best and worst months for savings.</t>
  </si>
  <si>
    <t>Step 7: Repeat Monthly</t>
  </si>
  <si>
    <t>At the start of each new month, scroll down on the Monthly Budget tab to find the next month's section. Enter your budgeted amounts, then track actuals throughout the month.</t>
  </si>
  <si>
    <t>BUDGETING TIPS &amp; BEST PRACTICES</t>
  </si>
  <si>
    <t xml:space="preserve">  1.  50/30/20 Rule: Aim to spend 50% on needs, 30% on wants, and 20% on savings/debt repayment.</t>
  </si>
  <si>
    <t xml:space="preserve">  2.  Track Daily: The most successful budgeters review their spending daily or every few days, not just at month-end.</t>
  </si>
  <si>
    <t xml:space="preserve">  3.  Emergency Fund First: Before aggressive investing, build 3-6 months of expenses in savings.</t>
  </si>
  <si>
    <t xml:space="preserve">  4.  Zero-Based Budgeting: Give every dollar a job. Your income minus all expenses (including savings) should equal zero.</t>
  </si>
  <si>
    <t xml:space="preserve">  5.  Review Monthly: At month-end, review what worked and what did not. Adjust next month's budget accordingly.</t>
  </si>
  <si>
    <t xml:space="preserve">  6.  Automate Savings: Set up automatic transfers to savings on payday so you pay yourself first.</t>
  </si>
  <si>
    <t xml:space="preserve">  7.  Use the 24-Hour Rule: For non-essential purchases over $50, wait 24 hours before buying.</t>
  </si>
  <si>
    <t xml:space="preserve">  8.  Celebrate Small Wins: Hit your savings goal for the month? Acknowledge the progress to stay motivated.</t>
  </si>
  <si>
    <t>FREQUENTLY ASKED QUESTIONS</t>
  </si>
  <si>
    <t>Q: Can I add more income or expense categories?</t>
  </si>
  <si>
    <t>A: Yes! Simply insert new rows within any section on the Monthly Budget tab. Make sure to update the SUM formulas in the total rows to include your new rows.</t>
  </si>
  <si>
    <t>Q: What if I have irregular income?</t>
  </si>
  <si>
    <t>A: Use your lowest expected monthly income as the 'Budgeted' amount. In months where you earn more, the surplus will show as a positive difference you can direct to savings.</t>
  </si>
  <si>
    <t>Q: How do I handle shared expenses (e.g., with a partner)?</t>
  </si>
  <si>
    <t>A: Enter only your share of each expense. Alternatively, you can create a separate budget planner for household expenses and track personal expenses in this one.</t>
  </si>
  <si>
    <t>Q: The formulas show errors or zeros - is something broken?</t>
  </si>
  <si>
    <t>A: Formulas will display $0.00 or blank values until you enter data. This is normal. Once you start entering income and expenses, all calculations will update automatically.</t>
  </si>
  <si>
    <t>Q: Can I use this in Google Sheets?</t>
  </si>
  <si>
    <t>A: Yes! Upload this file to Google Drive and open with Google Sheets. All formulas and formatting are fully compatible. Conditional formatting colors will apply after data entry.</t>
  </si>
  <si>
    <t>ABOUT THIS TEMPLATE</t>
  </si>
  <si>
    <t>This budget planner template is designed for personal, non-commercial use. All formulas are unlocked for full customization. The template includes sample data for January to demonstrate how the planner works - feel free to overwrite with your own numbers. February through December are blank and ready for your data.</t>
  </si>
  <si>
    <t>SUPPORT &amp; FEEDBACK</t>
  </si>
  <si>
    <t>Questions or suggestions? We would love to hear from you! Please reach out through our Etsy shop messaging system or leave a review to let us know how this planner is helping you achieve your financial goals.</t>
  </si>
  <si>
    <t>Version 1.0  |  Annual Budget Planner 2026  |  All Rights Reserved</t>
  </si>
  <si>
    <t>Budget 2026</t>
  </si>
  <si>
    <t>📊 Dashboard</t>
  </si>
  <si>
    <t>Your personal finance overview</t>
  </si>
  <si>
    <t>Monthly Overview</t>
  </si>
  <si>
    <t>Rate</t>
  </si>
  <si>
    <t>Cumulative</t>
  </si>
  <si>
    <t>Year Total</t>
  </si>
  <si>
    <t>⚠️  This dashboard is read-only. Enter data in the 📋 Monthly Budget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</si>
</sst>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
    <numFmt numFmtId="166" formatCode="&quot;€&quot;#,##0"/>
    <numFmt numFmtId="167" formatCode="&quot;€&quot;#,##0;\(&quot;€&quot;#,##0\);&quot;-&quot;"/>
  </numFmts>
  <fonts count="41" x14ac:knownFonts="1">
    <font>
      <sz val="11"/>
      <color theme="1"/>
      <name val="Calibri"/>
      <family val="2"/>
      <scheme val="minor"/>
    </font>
    <font>
      <b/>
      <sz val="22"/>
      <color rgb="FFFFFFFF"/>
      <name val="Calibri"/>
    </font>
    <font>
      <b/>
      <sz val="13"/>
      <color rgb="FFFFFFFF"/>
      <name val="Calibri"/>
    </font>
    <font>
      <b/>
      <sz val="11"/>
      <color rgb="FFFFFFFF"/>
      <name val="Calibri"/>
    </font>
    <font>
      <b/>
      <sz val="11"/>
      <color rgb="FF2C3E50"/>
      <name val="Calibri"/>
    </font>
    <font>
      <sz val="11"/>
      <color rgb="FF2C3E50"/>
      <name val="Calibri"/>
    </font>
    <font>
      <b/>
      <sz val="12"/>
      <color rgb="FFFFFFFF"/>
      <name val="Calibri"/>
    </font>
    <font>
      <b/>
      <sz val="18"/>
      <color rgb="FFFFFFFF"/>
      <name val="Calibri"/>
    </font>
    <font>
      <b/>
      <sz val="11"/>
      <color rgb="FF1E8449"/>
      <name val="Calibri"/>
    </font>
    <font>
      <b/>
      <sz val="11"/>
      <color rgb="FFC0392B"/>
      <name val="Calibri"/>
    </font>
    <font>
      <i/>
      <sz val="11"/>
      <color rgb="FF95A5A6"/>
      <name val="Calibri"/>
    </font>
    <font>
      <sz val="10"/>
      <color rgb="FFC0392B"/>
      <name val="Calibri"/>
    </font>
    <font>
      <sz val="10"/>
      <color rgb="FF3498DB"/>
      <name val="Calibri"/>
    </font>
    <font>
      <sz val="10"/>
      <color rgb="FF1E8449"/>
      <name val="Calibri"/>
    </font>
    <font>
      <b/>
      <sz val="28"/>
      <color rgb="FF1D1D1F"/>
      <name val="Aptos"/>
    </font>
    <font>
      <sz val="11"/>
      <color rgb="FF86868B"/>
      <name val="Aptos"/>
    </font>
    <font>
      <sz val="12"/>
      <color rgb="FF86868B"/>
      <name val="Aptos"/>
    </font>
    <font>
      <b/>
      <sz val="9"/>
      <color rgb="FF86868B"/>
      <name val="Aptos"/>
    </font>
    <font>
      <b/>
      <sz val="22"/>
      <color rgb="FF34C759"/>
      <name val="Aptos"/>
    </font>
    <font>
      <b/>
      <sz val="22"/>
      <color rgb="FFFF3B30"/>
      <name val="Aptos"/>
    </font>
    <font>
      <b/>
      <sz val="22"/>
      <color rgb="FF007AFF"/>
      <name val="Aptos"/>
    </font>
    <font>
      <b/>
      <sz val="22"/>
      <color rgb="FF5856D6"/>
      <name val="Aptos"/>
    </font>
    <font>
      <b/>
      <sz val="14"/>
      <color rgb="FF1D1D1F"/>
      <name val="Aptos"/>
    </font>
    <font>
      <b/>
      <sz val="10"/>
      <color rgb="FF86868B"/>
      <name val="Aptos"/>
    </font>
    <font>
      <sz val="11"/>
      <color rgb="FF1D1D1F"/>
      <name val="Aptos"/>
    </font>
    <font>
      <sz val="11"/>
      <color rgb="FF34C759"/>
      <name val="Aptos"/>
    </font>
    <font>
      <sz val="11"/>
      <color rgb="FF007AFF"/>
      <name val="Aptos"/>
    </font>
    <font>
      <sz val="11"/>
      <color rgb="FFFFFFFF"/>
      <name val="Aptos"/>
    </font>
    <font>
      <b/>
      <sz val="11"/>
      <color rgb="FFFFFFFF"/>
      <name val="Aptos"/>
    </font>
    <font>
      <b/>
      <sz val="11"/>
      <color rgb="FF34C759"/>
      <name val="Aptos"/>
    </font>
    <font>
      <b/>
      <sz val="11"/>
      <color rgb="FF007AFF"/>
      <name val="Aptos"/>
    </font>
    <font>
      <i/>
      <sz val="10"/>
      <color rgb="FFFF9500"/>
      <name val="Aptos"/>
    </font>
    <font>
      <sz val="11"/>
      <color theme="1"/>
      <name val="Aptos"/>
    </font>
    <font>
      <b/>
      <sz val="11"/>
      <color rgb="FFFFFFFF"/>
      <name val="Calibri"/>
      <scheme val="minor"/>
    </font>
    <font>
      <b/>
      <sz val="22"/>
      <color rgb="FFFFFFFF"/>
      <name val="Calibri"/>
      <scheme val="minor"/>
    </font>
    <font>
      <i/>
      <sz val="14"/>
      <color rgb="FFFFFFFF"/>
      <name val="Calibri"/>
      <scheme val="minor"/>
    </font>
    <font>
      <b/>
      <sz val="16"/>
      <color rgb="FF2C3E50"/>
      <name val="Calibri"/>
      <family val="2"/>
      <scheme val="minor"/>
    </font>
    <font>
      <sz val="11"/>
      <color rgb="FF2C3E50"/>
      <name val="Calibri"/>
      <family val="2"/>
      <scheme val="minor"/>
    </font>
    <font>
      <b/>
      <sz val="13"/>
      <color rgb="FFFFFFFF"/>
      <name val="Calibri"/>
      <family val="2"/>
      <scheme val="minor"/>
    </font>
    <font>
      <b/>
      <sz val="11"/>
      <color rgb="FF2C3E50"/>
      <name val="Calibri"/>
      <family val="2"/>
      <scheme val="minor"/>
    </font>
    <font>
      <i/>
      <sz val="9"/>
      <color rgb="FF95A5A6"/>
      <name val="Calibri"/>
      <family val="2"/>
      <scheme val="minor"/>
    </font>
  </fonts>
  <fills count="27">
    <fill>
      <patternFill patternType="none"/>
    </fill>
    <fill>
      <patternFill patternType="gray125"/>
    </fill>
    <fill>
      <patternFill patternType="solid">
        <fgColor rgb="FFFFFFFF"/>
      </patternFill>
    </fill>
    <fill>
      <patternFill patternType="solid">
        <fgColor rgb="FF2C3E50"/>
      </patternFill>
    </fill>
    <fill>
      <patternFill patternType="solid">
        <fgColor rgb="FFD6EAF8"/>
      </patternFill>
    </fill>
    <fill>
      <patternFill patternType="solid">
        <fgColor rgb="FF34495E"/>
      </patternFill>
    </fill>
    <fill>
      <patternFill patternType="solid">
        <fgColor rgb="FFECF0F1"/>
      </patternFill>
    </fill>
    <fill>
      <patternFill patternType="solid">
        <fgColor rgb="FF27AE60"/>
      </patternFill>
    </fill>
    <fill>
      <patternFill patternType="solid">
        <fgColor rgb="FFE74C3C"/>
      </patternFill>
    </fill>
    <fill>
      <patternFill patternType="solid">
        <fgColor rgb="FF3498DB"/>
      </patternFill>
    </fill>
    <fill>
      <patternFill patternType="solid">
        <fgColor rgb="FFEBF5FB"/>
      </patternFill>
    </fill>
    <fill>
      <patternFill patternType="solid">
        <fgColor rgb="FFFDEDEC"/>
      </patternFill>
    </fill>
    <fill>
      <patternFill patternType="solid">
        <fgColor rgb="FFE8F8F5"/>
      </patternFill>
    </fill>
    <fill>
      <patternFill patternType="solid">
        <fgColor rgb="FFFFFFFF"/>
        <bgColor indexed="64"/>
      </patternFill>
    </fill>
    <fill>
      <patternFill patternType="solid">
        <fgColor rgb="FFF5F5F7"/>
        <bgColor indexed="64"/>
      </patternFill>
    </fill>
    <fill>
      <patternFill patternType="solid">
        <fgColor rgb="FFFAFAFA"/>
        <bgColor indexed="64"/>
      </patternFill>
    </fill>
    <fill>
      <patternFill patternType="solid">
        <fgColor rgb="FFFFFBF0"/>
        <bgColor indexed="64"/>
      </patternFill>
    </fill>
    <fill>
      <patternFill patternType="solid">
        <fgColor rgb="FFEFF6FF"/>
        <bgColor indexed="64"/>
      </patternFill>
    </fill>
    <fill>
      <patternFill patternType="solid">
        <fgColor rgb="FFE74C3C"/>
        <bgColor indexed="64"/>
      </patternFill>
    </fill>
    <fill>
      <patternFill patternType="solid">
        <fgColor rgb="FF2C3E50"/>
        <bgColor indexed="64"/>
      </patternFill>
    </fill>
    <fill>
      <patternFill patternType="solid">
        <fgColor rgb="FFEBF5FB"/>
        <bgColor indexed="64"/>
      </patternFill>
    </fill>
    <fill>
      <patternFill patternType="solid">
        <fgColor rgb="FF27AE60"/>
        <bgColor indexed="64"/>
      </patternFill>
    </fill>
    <fill>
      <patternFill patternType="solid">
        <fgColor rgb="FFECF0F1"/>
        <bgColor indexed="64"/>
      </patternFill>
    </fill>
    <fill>
      <patternFill patternType="solid">
        <fgColor rgb="FF3498DB"/>
        <bgColor indexed="64"/>
      </patternFill>
    </fill>
    <fill>
      <patternFill patternType="solid">
        <fgColor rgb="FF34495E"/>
        <bgColor indexed="64"/>
      </patternFill>
    </fill>
    <fill>
      <patternFill patternType="solid">
        <fgColor rgb="FFD5F5E3"/>
        <bgColor indexed="64"/>
      </patternFill>
    </fill>
    <fill>
      <patternFill patternType="solid">
        <fgColor rgb="FFFADBD8"/>
        <bgColor indexed="64"/>
      </patternFill>
    </fill>
  </fills>
  <borders count="33">
    <border>
      <left/>
      <right/>
      <top/>
      <bottom/>
      <diagonal/>
    </border>
    <border>
      <left style="thin">
        <color rgb="FFBDC3C7"/>
      </left>
      <right style="thin">
        <color rgb="FFBDC3C7"/>
      </right>
      <top style="thin">
        <color rgb="FFBDC3C7"/>
      </top>
      <bottom style="thin">
        <color rgb="FFBDC3C7"/>
      </bottom>
      <diagonal/>
    </border>
    <border>
      <left/>
      <right style="thin">
        <color rgb="FFBDC3C7"/>
      </right>
      <top style="thin">
        <color rgb="FFBDC3C7"/>
      </top>
      <bottom/>
      <diagonal/>
    </border>
    <border>
      <left/>
      <right/>
      <top/>
      <bottom style="thin">
        <color rgb="FFE5E5EA"/>
      </bottom>
      <diagonal/>
    </border>
    <border>
      <left/>
      <right/>
      <top style="thin">
        <color rgb="FFE5E5EA"/>
      </top>
      <bottom/>
      <diagonal/>
    </border>
    <border>
      <left style="thin">
        <color rgb="FFE5E5EA"/>
      </left>
      <right/>
      <top style="thin">
        <color rgb="FFE5E5EA"/>
      </top>
      <bottom/>
      <diagonal/>
    </border>
    <border>
      <left style="thin">
        <color rgb="FFE5E5EA"/>
      </left>
      <right/>
      <top/>
      <bottom/>
      <diagonal/>
    </border>
    <border>
      <left style="thin">
        <color rgb="FFE5E5EA"/>
      </left>
      <right/>
      <top/>
      <bottom style="thin">
        <color rgb="FFE5E5EA"/>
      </bottom>
      <diagonal/>
    </border>
    <border>
      <left style="thin">
        <color rgb="FFE5E5EA"/>
      </left>
      <right style="thin">
        <color rgb="FFE5E5EA"/>
      </right>
      <top style="thin">
        <color rgb="FFE5E5EA"/>
      </top>
      <bottom/>
      <diagonal/>
    </border>
    <border>
      <left style="thin">
        <color rgb="FFE5E5EA"/>
      </left>
      <right style="thin">
        <color rgb="FFE5E5EA"/>
      </right>
      <top/>
      <bottom/>
      <diagonal/>
    </border>
    <border>
      <left style="thin">
        <color rgb="FFE5E5EA"/>
      </left>
      <right style="thin">
        <color rgb="FFE5E5EA"/>
      </right>
      <top/>
      <bottom style="thin">
        <color rgb="FFE5E5EA"/>
      </bottom>
      <diagonal/>
    </border>
    <border>
      <left/>
      <right/>
      <top style="thin">
        <color rgb="FFFFD60A"/>
      </top>
      <bottom style="thin">
        <color rgb="FFFFD60A"/>
      </bottom>
      <diagonal/>
    </border>
    <border>
      <left style="thin">
        <color rgb="FFFFD60A"/>
      </left>
      <right/>
      <top style="thin">
        <color rgb="FFFFD60A"/>
      </top>
      <bottom style="thin">
        <color rgb="FFFFD60A"/>
      </bottom>
      <diagonal/>
    </border>
    <border>
      <left/>
      <right style="thin">
        <color rgb="FFFFD60A"/>
      </right>
      <top style="thin">
        <color rgb="FFFFD60A"/>
      </top>
      <bottom style="thin">
        <color rgb="FFFFD60A"/>
      </bottom>
      <diagonal/>
    </border>
    <border>
      <left/>
      <right/>
      <top style="medium">
        <color rgb="FF1D1D1F"/>
      </top>
      <bottom/>
      <diagonal/>
    </border>
    <border>
      <left style="thin">
        <color rgb="FFBDC3C7"/>
      </left>
      <right/>
      <top style="thin">
        <color rgb="FFBDC3C7"/>
      </top>
      <bottom/>
      <diagonal/>
    </border>
    <border>
      <left style="thin">
        <color rgb="FFBDC3C7"/>
      </left>
      <right/>
      <top style="thin">
        <color rgb="FFBDC3C7"/>
      </top>
      <bottom style="thin">
        <color rgb="FFBDC3C7"/>
      </bottom>
      <diagonal/>
    </border>
    <border>
      <left style="thin">
        <color rgb="FFBDC3C7"/>
      </left>
      <right style="thin">
        <color rgb="FFBDC3C7"/>
      </right>
      <top style="thin">
        <color rgb="FFBDC3C7"/>
      </top>
      <bottom/>
      <diagonal/>
    </border>
    <border>
      <left style="thin">
        <color rgb="FFBDC3C7"/>
      </left>
      <right style="thin">
        <color rgb="FFBDC3C7"/>
      </right>
      <top/>
      <bottom style="thin">
        <color rgb="FFBDC3C7"/>
      </bottom>
      <diagonal/>
    </border>
    <border>
      <left/>
      <right style="thin">
        <color rgb="FFBDC3C7"/>
      </right>
      <top/>
      <bottom style="thin">
        <color rgb="FFBDC3C7"/>
      </bottom>
      <diagonal/>
    </border>
    <border>
      <left style="thin">
        <color rgb="FFBDC3C7"/>
      </left>
      <right/>
      <top/>
      <bottom/>
      <diagonal/>
    </border>
    <border>
      <left style="thin">
        <color rgb="FFBDC3C7"/>
      </left>
      <right/>
      <top/>
      <bottom style="thin">
        <color rgb="FFBDC3C7"/>
      </bottom>
      <diagonal/>
    </border>
    <border>
      <left style="thin">
        <color rgb="FFBDC3C7"/>
      </left>
      <right style="thin">
        <color rgb="FFBDC3C7"/>
      </right>
      <top/>
      <bottom/>
      <diagonal/>
    </border>
    <border>
      <left style="thin">
        <color rgb="FFBDC3C7"/>
      </left>
      <right style="thin">
        <color rgb="FFBDC3C7"/>
      </right>
      <top/>
      <bottom style="thin">
        <color rgb="FFD6EAF8"/>
      </bottom>
      <diagonal/>
    </border>
    <border>
      <left/>
      <right style="thin">
        <color rgb="FFBDC3C7"/>
      </right>
      <top style="thin">
        <color rgb="FFE5E5EA"/>
      </top>
      <bottom style="thin">
        <color rgb="FFBDC3C7"/>
      </bottom>
      <diagonal/>
    </border>
    <border>
      <left style="thin">
        <color rgb="FFBDC3C7"/>
      </left>
      <right style="thin">
        <color rgb="FFBDC3C7"/>
      </right>
      <top style="thin">
        <color rgb="FFE5E5EA"/>
      </top>
      <bottom style="thin">
        <color rgb="FFBDC3C7"/>
      </bottom>
      <diagonal/>
    </border>
    <border>
      <left style="thin">
        <color rgb="FFBDC3C7"/>
      </left>
      <right/>
      <top style="thin">
        <color rgb="FFE5E5EA"/>
      </top>
      <bottom style="thin">
        <color rgb="FFBDC3C7"/>
      </bottom>
      <diagonal/>
    </border>
    <border>
      <left style="thin">
        <color rgb="FFBDC3C7"/>
      </left>
      <right style="thin">
        <color rgb="FFBDC3C7"/>
      </right>
      <top style="thin">
        <color rgb="FFE5E5EA"/>
      </top>
      <bottom/>
      <diagonal/>
    </border>
    <border>
      <left/>
      <right style="thin">
        <color rgb="FFBDC3C7"/>
      </right>
      <top style="thin">
        <color rgb="FFE5E5EA"/>
      </top>
      <bottom/>
      <diagonal/>
    </border>
    <border>
      <left style="thin">
        <color rgb="FFBDC3C7"/>
      </left>
      <right/>
      <top style="thin">
        <color rgb="FFE5E5EA"/>
      </top>
      <bottom/>
      <diagonal/>
    </border>
    <border>
      <left style="thin">
        <color rgb="FFBDC3C7"/>
      </left>
      <right style="thin">
        <color rgb="FFBDC3C7"/>
      </right>
      <top style="medium">
        <color rgb="FF2C3E50"/>
      </top>
      <bottom style="thin">
        <color rgb="FFBDC3C7"/>
      </bottom>
      <diagonal/>
    </border>
    <border>
      <left/>
      <right style="thin">
        <color rgb="FFBDC3C7"/>
      </right>
      <top style="medium">
        <color rgb="FF2C3E50"/>
      </top>
      <bottom style="thin">
        <color rgb="FFBDC3C7"/>
      </bottom>
      <diagonal/>
    </border>
    <border>
      <left style="thin">
        <color rgb="FFBDC3C7"/>
      </left>
      <right/>
      <top style="medium">
        <color rgb="FF2C3E50"/>
      </top>
      <bottom style="thin">
        <color rgb="FFBDC3C7"/>
      </bottom>
      <diagonal/>
    </border>
  </borders>
  <cellStyleXfs count="1">
    <xf numFmtId="0" fontId="0" fillId="0" borderId="0"/>
  </cellStyleXfs>
  <cellXfs count="187">
    <xf numFmtId="0" fontId="0" fillId="0" borderId="0" xfId="0"/>
    <xf numFmtId="0" fontId="0" fillId="2" borderId="0" xfId="0" applyFill="1"/>
    <xf numFmtId="0" fontId="23" fillId="15" borderId="0" xfId="0" applyFont="1" applyFill="1" applyBorder="1" applyAlignment="1">
      <alignment horizontal="left"/>
    </xf>
    <xf numFmtId="0" fontId="23" fillId="15" borderId="0" xfId="0" applyFont="1" applyFill="1" applyBorder="1" applyAlignment="1">
      <alignment horizontal="right"/>
    </xf>
    <xf numFmtId="0" fontId="23" fillId="15" borderId="0" xfId="0" applyFont="1" applyFill="1" applyBorder="1" applyAlignment="1">
      <alignment horizontal="center"/>
    </xf>
    <xf numFmtId="0" fontId="17" fillId="14" borderId="5" xfId="0" applyFont="1" applyFill="1" applyBorder="1" applyAlignment="1">
      <alignment horizontal="center"/>
    </xf>
    <xf numFmtId="166" fontId="18" fillId="14" borderId="6" xfId="0" applyNumberFormat="1" applyFont="1" applyFill="1" applyBorder="1" applyAlignment="1">
      <alignment horizontal="center"/>
    </xf>
    <xf numFmtId="166" fontId="19" fillId="14" borderId="6" xfId="0" applyNumberFormat="1" applyFont="1" applyFill="1" applyBorder="1" applyAlignment="1">
      <alignment horizontal="center"/>
    </xf>
    <xf numFmtId="166" fontId="20" fillId="14" borderId="6" xfId="0" applyNumberFormat="1" applyFont="1" applyFill="1" applyBorder="1" applyAlignment="1">
      <alignment horizontal="center"/>
    </xf>
    <xf numFmtId="0" fontId="17" fillId="14" borderId="8" xfId="0" applyFont="1" applyFill="1" applyBorder="1" applyAlignment="1">
      <alignment horizontal="center"/>
    </xf>
    <xf numFmtId="165" fontId="21" fillId="14" borderId="9" xfId="0" applyNumberFormat="1" applyFont="1" applyFill="1" applyBorder="1" applyAlignment="1">
      <alignment horizontal="center"/>
    </xf>
    <xf numFmtId="0" fontId="31" fillId="16" borderId="12" xfId="0" applyFont="1" applyFill="1" applyBorder="1" applyAlignment="1">
      <alignment horizontal="left"/>
    </xf>
    <xf numFmtId="0" fontId="0" fillId="13" borderId="0" xfId="0" applyFill="1"/>
    <xf numFmtId="0" fontId="0" fillId="13" borderId="0" xfId="0" applyFill="1" applyBorder="1"/>
    <xf numFmtId="0" fontId="14" fillId="13" borderId="0" xfId="0" applyFont="1" applyFill="1" applyBorder="1" applyAlignment="1">
      <alignment horizontal="left"/>
    </xf>
    <xf numFmtId="0" fontId="15" fillId="13" borderId="0" xfId="0" applyFont="1" applyFill="1" applyBorder="1" applyAlignment="1">
      <alignment horizontal="right"/>
    </xf>
    <xf numFmtId="0" fontId="16" fillId="13" borderId="0" xfId="0" applyFont="1" applyFill="1" applyBorder="1" applyAlignment="1">
      <alignment horizontal="left"/>
    </xf>
    <xf numFmtId="0" fontId="22" fillId="13" borderId="0" xfId="0" applyFont="1" applyFill="1" applyBorder="1" applyAlignment="1">
      <alignment horizontal="left"/>
    </xf>
    <xf numFmtId="0" fontId="24" fillId="13" borderId="0" xfId="0" applyFont="1" applyFill="1" applyBorder="1" applyAlignment="1">
      <alignment horizontal="left"/>
    </xf>
    <xf numFmtId="166" fontId="24" fillId="13" borderId="0" xfId="0" applyNumberFormat="1" applyFont="1" applyFill="1" applyBorder="1" applyAlignment="1">
      <alignment horizontal="right"/>
    </xf>
    <xf numFmtId="167" fontId="25" fillId="13" borderId="0" xfId="0" applyNumberFormat="1" applyFont="1" applyFill="1" applyBorder="1" applyAlignment="1">
      <alignment horizontal="right"/>
    </xf>
    <xf numFmtId="165" fontId="24" fillId="13" borderId="0" xfId="0" applyNumberFormat="1" applyFont="1" applyFill="1" applyBorder="1" applyAlignment="1">
      <alignment horizontal="center"/>
    </xf>
    <xf numFmtId="166" fontId="26" fillId="13" borderId="0" xfId="0" applyNumberFormat="1" applyFont="1" applyFill="1" applyBorder="1" applyAlignment="1">
      <alignment horizontal="right"/>
    </xf>
    <xf numFmtId="0" fontId="28" fillId="13" borderId="14" xfId="0" applyFont="1" applyFill="1" applyBorder="1" applyAlignment="1">
      <alignment horizontal="left"/>
    </xf>
    <xf numFmtId="166" fontId="28" fillId="13" borderId="14" xfId="0" applyNumberFormat="1" applyFont="1" applyFill="1" applyBorder="1" applyAlignment="1">
      <alignment horizontal="right"/>
    </xf>
    <xf numFmtId="166" fontId="29" fillId="13" borderId="14" xfId="0" applyNumberFormat="1" applyFont="1" applyFill="1" applyBorder="1" applyAlignment="1">
      <alignment horizontal="right"/>
    </xf>
    <xf numFmtId="165" fontId="28" fillId="13" borderId="14" xfId="0" applyNumberFormat="1" applyFont="1" applyFill="1" applyBorder="1" applyAlignment="1">
      <alignment horizontal="center"/>
    </xf>
    <xf numFmtId="166" fontId="30" fillId="13" borderId="14" xfId="0" applyNumberFormat="1" applyFont="1" applyFill="1" applyBorder="1" applyAlignment="1">
      <alignment horizontal="right"/>
    </xf>
    <xf numFmtId="0" fontId="32" fillId="13" borderId="0" xfId="0" applyFont="1" applyFill="1" applyBorder="1"/>
    <xf numFmtId="0" fontId="32" fillId="14" borderId="4" xfId="0" applyFont="1" applyFill="1" applyBorder="1"/>
    <xf numFmtId="0" fontId="32" fillId="14" borderId="0" xfId="0" applyFont="1" applyFill="1" applyBorder="1"/>
    <xf numFmtId="0" fontId="32" fillId="14" borderId="7" xfId="0" applyFont="1" applyFill="1" applyBorder="1"/>
    <xf numFmtId="0" fontId="32" fillId="14" borderId="3" xfId="0" applyFont="1" applyFill="1" applyBorder="1"/>
    <xf numFmtId="0" fontId="32" fillId="14" borderId="10" xfId="0" applyFont="1" applyFill="1" applyBorder="1"/>
    <xf numFmtId="0" fontId="32" fillId="16" borderId="11" xfId="0" applyFont="1" applyFill="1" applyBorder="1"/>
    <xf numFmtId="0" fontId="32" fillId="16" borderId="13" xfId="0" applyFont="1" applyFill="1" applyBorder="1"/>
    <xf numFmtId="0" fontId="27" fillId="13" borderId="0" xfId="0" applyFont="1" applyFill="1" applyBorder="1"/>
    <xf numFmtId="0" fontId="0" fillId="0" borderId="0" xfId="0" applyProtection="1"/>
    <xf numFmtId="0" fontId="1" fillId="3" borderId="1" xfId="0" applyFont="1" applyFill="1" applyBorder="1" applyAlignment="1" applyProtection="1">
      <alignment horizontal="center" vertical="center" wrapText="1"/>
    </xf>
    <xf numFmtId="0" fontId="0" fillId="3" borderId="1" xfId="0" applyFill="1" applyBorder="1" applyAlignment="1" applyProtection="1">
      <alignment horizontal="center" vertical="center" wrapText="1"/>
    </xf>
    <xf numFmtId="0" fontId="2" fillId="7" borderId="1" xfId="0" applyFont="1" applyFill="1" applyBorder="1" applyAlignment="1" applyProtection="1">
      <alignment horizontal="center" vertical="center" wrapText="1"/>
    </xf>
    <xf numFmtId="0" fontId="0" fillId="7" borderId="1" xfId="0" applyFill="1" applyBorder="1" applyAlignment="1" applyProtection="1">
      <alignment horizontal="center" vertical="center" wrapText="1"/>
    </xf>
    <xf numFmtId="0" fontId="3" fillId="5" borderId="1" xfId="0" applyFont="1" applyFill="1" applyBorder="1" applyAlignment="1" applyProtection="1">
      <alignment horizontal="center" vertical="center" wrapText="1"/>
    </xf>
    <xf numFmtId="0" fontId="5" fillId="2" borderId="1" xfId="0" applyFont="1" applyFill="1" applyBorder="1" applyAlignment="1" applyProtection="1">
      <alignment horizontal="left" vertical="center" wrapText="1"/>
    </xf>
    <xf numFmtId="164" fontId="5" fillId="2" borderId="1" xfId="0" applyNumberFormat="1" applyFont="1" applyFill="1" applyBorder="1" applyAlignment="1" applyProtection="1">
      <alignment horizontal="right" vertical="center"/>
    </xf>
    <xf numFmtId="0" fontId="5" fillId="6" borderId="1" xfId="0" applyFont="1" applyFill="1" applyBorder="1" applyAlignment="1" applyProtection="1">
      <alignment horizontal="left" vertical="center" wrapText="1"/>
    </xf>
    <xf numFmtId="164" fontId="5" fillId="6" borderId="1" xfId="0" applyNumberFormat="1" applyFont="1" applyFill="1" applyBorder="1" applyAlignment="1" applyProtection="1">
      <alignment horizontal="right" vertical="center"/>
    </xf>
    <xf numFmtId="0" fontId="3" fillId="7" borderId="1" xfId="0" applyFont="1" applyFill="1" applyBorder="1" applyAlignment="1" applyProtection="1">
      <alignment horizontal="left" vertical="center" wrapText="1"/>
    </xf>
    <xf numFmtId="164" fontId="3" fillId="7" borderId="1" xfId="0" applyNumberFormat="1" applyFont="1" applyFill="1" applyBorder="1" applyAlignment="1" applyProtection="1">
      <alignment horizontal="right" vertical="center"/>
    </xf>
    <xf numFmtId="0" fontId="2" fillId="8" borderId="1" xfId="0" applyFont="1" applyFill="1" applyBorder="1" applyAlignment="1" applyProtection="1">
      <alignment horizontal="center" vertical="center" wrapText="1"/>
    </xf>
    <xf numFmtId="0" fontId="0" fillId="8" borderId="1" xfId="0" applyFill="1" applyBorder="1" applyAlignment="1" applyProtection="1">
      <alignment horizontal="center" vertical="center" wrapText="1"/>
    </xf>
    <xf numFmtId="0" fontId="6" fillId="9" borderId="1" xfId="0" applyFont="1" applyFill="1" applyBorder="1" applyAlignment="1" applyProtection="1">
      <alignment horizontal="left" vertical="center" wrapText="1"/>
    </xf>
    <xf numFmtId="0" fontId="0" fillId="9" borderId="1" xfId="0" applyFill="1" applyBorder="1" applyAlignment="1" applyProtection="1">
      <alignment horizontal="left" vertical="center" wrapText="1"/>
    </xf>
    <xf numFmtId="0" fontId="3" fillId="8" borderId="1" xfId="0" applyFont="1" applyFill="1" applyBorder="1" applyAlignment="1" applyProtection="1">
      <alignment horizontal="left" vertical="center" wrapText="1"/>
    </xf>
    <xf numFmtId="164" fontId="3" fillId="8" borderId="1" xfId="0" applyNumberFormat="1" applyFont="1" applyFill="1" applyBorder="1" applyAlignment="1" applyProtection="1">
      <alignment horizontal="right" vertical="center"/>
    </xf>
    <xf numFmtId="0" fontId="2" fillId="3" borderId="1" xfId="0" applyFont="1" applyFill="1" applyBorder="1" applyAlignment="1" applyProtection="1">
      <alignment horizontal="center" vertical="center" wrapText="1"/>
    </xf>
    <xf numFmtId="0" fontId="4" fillId="10" borderId="1" xfId="0" applyFont="1" applyFill="1" applyBorder="1" applyAlignment="1" applyProtection="1">
      <alignment horizontal="left" vertical="center" wrapText="1"/>
    </xf>
    <xf numFmtId="164" fontId="4" fillId="10" borderId="1" xfId="0" applyNumberFormat="1" applyFont="1" applyFill="1" applyBorder="1" applyAlignment="1" applyProtection="1">
      <alignment horizontal="right" vertical="center"/>
    </xf>
    <xf numFmtId="0" fontId="4" fillId="10" borderId="1" xfId="0" applyFont="1" applyFill="1" applyBorder="1" applyAlignment="1" applyProtection="1">
      <alignment horizontal="right" vertical="center"/>
    </xf>
    <xf numFmtId="0" fontId="4" fillId="4" borderId="1" xfId="0" applyFont="1" applyFill="1" applyBorder="1" applyAlignment="1" applyProtection="1">
      <alignment horizontal="left" vertical="center" wrapText="1"/>
    </xf>
    <xf numFmtId="164" fontId="4" fillId="4" borderId="1" xfId="0" applyNumberFormat="1" applyFont="1" applyFill="1" applyBorder="1" applyAlignment="1" applyProtection="1">
      <alignment horizontal="right" vertical="center"/>
    </xf>
    <xf numFmtId="0" fontId="4" fillId="4" borderId="1" xfId="0" applyFont="1" applyFill="1" applyBorder="1" applyAlignment="1" applyProtection="1">
      <alignment horizontal="right" vertical="center"/>
    </xf>
    <xf numFmtId="165" fontId="4" fillId="4" borderId="1" xfId="0" applyNumberFormat="1" applyFont="1" applyFill="1" applyBorder="1" applyAlignment="1" applyProtection="1">
      <alignment horizontal="right" vertical="center"/>
    </xf>
    <xf numFmtId="164" fontId="5" fillId="17" borderId="1" xfId="0" applyNumberFormat="1" applyFont="1" applyFill="1" applyBorder="1" applyAlignment="1" applyProtection="1">
      <alignment horizontal="right" vertical="center"/>
      <protection locked="0"/>
    </xf>
    <xf numFmtId="164" fontId="3" fillId="8" borderId="16" xfId="0" applyNumberFormat="1" applyFont="1" applyFill="1" applyBorder="1" applyAlignment="1" applyProtection="1">
      <alignment horizontal="right" vertical="center"/>
    </xf>
    <xf numFmtId="164" fontId="5" fillId="2" borderId="17" xfId="0" applyNumberFormat="1" applyFont="1" applyFill="1" applyBorder="1" applyAlignment="1" applyProtection="1">
      <alignment horizontal="right" vertical="center"/>
    </xf>
    <xf numFmtId="0" fontId="0" fillId="0" borderId="0" xfId="0" applyAlignment="1" applyProtection="1">
      <alignment vertical="center"/>
    </xf>
    <xf numFmtId="0" fontId="0" fillId="0" borderId="0" xfId="0" applyAlignment="1">
      <alignment vertical="center"/>
    </xf>
    <xf numFmtId="0" fontId="0" fillId="13" borderId="0" xfId="0" applyFill="1" applyProtection="1"/>
    <xf numFmtId="0" fontId="0" fillId="13" borderId="0" xfId="0" applyFill="1" applyBorder="1" applyProtection="1"/>
    <xf numFmtId="0" fontId="0" fillId="3" borderId="16" xfId="0" applyFill="1" applyBorder="1" applyAlignment="1" applyProtection="1">
      <alignment horizontal="center" vertical="center" wrapText="1"/>
    </xf>
    <xf numFmtId="0" fontId="0" fillId="7" borderId="16" xfId="0" applyFill="1" applyBorder="1" applyAlignment="1" applyProtection="1">
      <alignment horizontal="center" vertical="center" wrapText="1"/>
    </xf>
    <xf numFmtId="0" fontId="3" fillId="5" borderId="16" xfId="0" applyFont="1" applyFill="1" applyBorder="1" applyAlignment="1" applyProtection="1">
      <alignment horizontal="center" vertical="center" wrapText="1"/>
    </xf>
    <xf numFmtId="164" fontId="3" fillId="7" borderId="16" xfId="0" applyNumberFormat="1" applyFont="1" applyFill="1" applyBorder="1" applyAlignment="1" applyProtection="1">
      <alignment horizontal="right" vertical="center"/>
    </xf>
    <xf numFmtId="0" fontId="0" fillId="8" borderId="16" xfId="0" applyFill="1" applyBorder="1" applyAlignment="1" applyProtection="1">
      <alignment horizontal="center" vertical="center" wrapText="1"/>
    </xf>
    <xf numFmtId="0" fontId="0" fillId="9" borderId="16" xfId="0" applyFill="1" applyBorder="1" applyAlignment="1" applyProtection="1">
      <alignment horizontal="left" vertical="center" wrapText="1"/>
    </xf>
    <xf numFmtId="0" fontId="0" fillId="13" borderId="0" xfId="0" applyFill="1" applyAlignment="1" applyProtection="1">
      <alignment vertical="center"/>
    </xf>
    <xf numFmtId="0" fontId="0" fillId="13" borderId="0" xfId="0" applyFill="1" applyBorder="1" applyAlignment="1" applyProtection="1">
      <alignment vertical="center"/>
    </xf>
    <xf numFmtId="0" fontId="4" fillId="4" borderId="17" xfId="0" applyFont="1" applyFill="1" applyBorder="1" applyAlignment="1" applyProtection="1">
      <alignment horizontal="left" vertical="center" wrapText="1"/>
    </xf>
    <xf numFmtId="165" fontId="4" fillId="4" borderId="17" xfId="0" applyNumberFormat="1" applyFont="1" applyFill="1" applyBorder="1" applyAlignment="1" applyProtection="1">
      <alignment horizontal="right" vertical="center"/>
    </xf>
    <xf numFmtId="0" fontId="7" fillId="3" borderId="18" xfId="0" applyFont="1" applyFill="1" applyBorder="1" applyAlignment="1" applyProtection="1">
      <alignment horizontal="center" vertical="center" wrapText="1"/>
    </xf>
    <xf numFmtId="0" fontId="0" fillId="3" borderId="18" xfId="0" applyFill="1" applyBorder="1" applyAlignment="1" applyProtection="1">
      <alignment horizontal="center" vertical="center" wrapText="1"/>
    </xf>
    <xf numFmtId="0" fontId="0" fillId="3" borderId="21" xfId="0" applyFill="1" applyBorder="1" applyAlignment="1" applyProtection="1">
      <alignment horizontal="center" vertical="center" wrapText="1"/>
    </xf>
    <xf numFmtId="164" fontId="5" fillId="17" borderId="16" xfId="0" applyNumberFormat="1" applyFont="1" applyFill="1" applyBorder="1" applyAlignment="1" applyProtection="1">
      <alignment horizontal="right" vertical="center"/>
      <protection locked="0"/>
    </xf>
    <xf numFmtId="164" fontId="4" fillId="10" borderId="16" xfId="0" applyNumberFormat="1" applyFont="1" applyFill="1" applyBorder="1" applyAlignment="1" applyProtection="1">
      <alignment horizontal="right" vertical="center"/>
    </xf>
    <xf numFmtId="164" fontId="4" fillId="4" borderId="16" xfId="0" applyNumberFormat="1" applyFont="1" applyFill="1" applyBorder="1" applyAlignment="1" applyProtection="1">
      <alignment horizontal="right" vertical="center"/>
    </xf>
    <xf numFmtId="165" fontId="4" fillId="4" borderId="15" xfId="0" applyNumberFormat="1" applyFont="1" applyFill="1" applyBorder="1" applyAlignment="1" applyProtection="1">
      <alignment horizontal="right" vertical="center"/>
    </xf>
    <xf numFmtId="0" fontId="4" fillId="4" borderId="17" xfId="0" applyFont="1" applyFill="1" applyBorder="1" applyAlignment="1" applyProtection="1">
      <alignment horizontal="right" vertical="center"/>
    </xf>
    <xf numFmtId="165" fontId="4" fillId="4" borderId="16" xfId="0" applyNumberFormat="1" applyFont="1" applyFill="1" applyBorder="1" applyAlignment="1" applyProtection="1">
      <alignment horizontal="right" vertical="center"/>
    </xf>
    <xf numFmtId="0" fontId="40" fillId="13" borderId="0" xfId="0" applyFont="1" applyFill="1" applyAlignment="1">
      <alignment horizontal="center"/>
    </xf>
    <xf numFmtId="0" fontId="34" fillId="19" borderId="17" xfId="0" applyFont="1" applyFill="1" applyBorder="1" applyAlignment="1">
      <alignment horizontal="center"/>
    </xf>
    <xf numFmtId="0" fontId="35" fillId="19" borderId="18" xfId="0" applyFont="1" applyFill="1" applyBorder="1" applyAlignment="1">
      <alignment horizontal="center"/>
    </xf>
    <xf numFmtId="0" fontId="36" fillId="13" borderId="17" xfId="0" applyFont="1" applyFill="1" applyBorder="1" applyAlignment="1">
      <alignment horizontal="left"/>
    </xf>
    <xf numFmtId="0" fontId="37" fillId="13" borderId="18" xfId="0" applyFont="1" applyFill="1" applyBorder="1" applyAlignment="1">
      <alignment horizontal="left" wrapText="1"/>
    </xf>
    <xf numFmtId="0" fontId="38" fillId="19" borderId="17" xfId="0" applyFont="1" applyFill="1" applyBorder="1" applyAlignment="1">
      <alignment horizontal="left"/>
    </xf>
    <xf numFmtId="0" fontId="39" fillId="20" borderId="23" xfId="0" applyFont="1" applyFill="1" applyBorder="1" applyAlignment="1">
      <alignment horizontal="left"/>
    </xf>
    <xf numFmtId="0" fontId="37" fillId="13" borderId="22" xfId="0" applyFont="1" applyFill="1" applyBorder="1" applyAlignment="1">
      <alignment horizontal="left" wrapText="1"/>
    </xf>
    <xf numFmtId="0" fontId="38" fillId="21" borderId="17" xfId="0" applyFont="1" applyFill="1" applyBorder="1" applyAlignment="1">
      <alignment horizontal="left"/>
    </xf>
    <xf numFmtId="0" fontId="37" fillId="22" borderId="22" xfId="0" applyFont="1" applyFill="1" applyBorder="1" applyAlignment="1">
      <alignment horizontal="left" wrapText="1"/>
    </xf>
    <xf numFmtId="0" fontId="37" fillId="22" borderId="18" xfId="0" applyFont="1" applyFill="1" applyBorder="1" applyAlignment="1">
      <alignment horizontal="left" wrapText="1"/>
    </xf>
    <xf numFmtId="0" fontId="38" fillId="23" borderId="17" xfId="0" applyFont="1" applyFill="1" applyBorder="1" applyAlignment="1">
      <alignment horizontal="left"/>
    </xf>
    <xf numFmtId="0" fontId="37" fillId="13" borderId="18" xfId="0" applyFont="1" applyFill="1" applyBorder="1" applyAlignment="1">
      <alignment wrapText="1"/>
    </xf>
    <xf numFmtId="0" fontId="38" fillId="24" borderId="17" xfId="0" applyFont="1" applyFill="1" applyBorder="1" applyAlignment="1">
      <alignment horizontal="left"/>
    </xf>
    <xf numFmtId="164" fontId="33" fillId="18" borderId="1" xfId="0" applyNumberFormat="1" applyFont="1" applyFill="1" applyBorder="1" applyAlignment="1" applyProtection="1">
      <alignment horizontal="right" vertical="center"/>
    </xf>
    <xf numFmtId="0" fontId="10" fillId="2" borderId="17" xfId="0" applyFont="1" applyFill="1" applyBorder="1" applyAlignment="1" applyProtection="1">
      <alignment horizontal="left" vertical="center" wrapText="1"/>
    </xf>
    <xf numFmtId="0" fontId="0" fillId="0" borderId="17" xfId="0" applyBorder="1" applyAlignment="1" applyProtection="1">
      <alignment horizontal="left" vertical="center" wrapText="1"/>
    </xf>
    <xf numFmtId="0" fontId="0" fillId="0" borderId="15" xfId="0" applyBorder="1" applyAlignment="1" applyProtection="1">
      <alignment horizontal="left" vertical="center" wrapText="1"/>
    </xf>
    <xf numFmtId="0" fontId="4" fillId="2" borderId="0" xfId="0" applyFont="1" applyFill="1" applyAlignment="1" applyProtection="1">
      <alignment horizontal="left" vertical="center" wrapText="1"/>
    </xf>
    <xf numFmtId="0" fontId="0" fillId="0" borderId="0" xfId="0" applyAlignment="1" applyProtection="1">
      <alignment horizontal="left" vertical="center" wrapText="1"/>
    </xf>
    <xf numFmtId="0" fontId="11" fillId="11" borderId="22" xfId="0" applyFont="1" applyFill="1" applyBorder="1" applyAlignment="1" applyProtection="1">
      <alignment horizontal="center" vertical="center" wrapText="1"/>
    </xf>
    <xf numFmtId="0" fontId="12" fillId="10" borderId="22" xfId="0" applyFont="1" applyFill="1" applyBorder="1" applyAlignment="1" applyProtection="1">
      <alignment horizontal="center" vertical="center" wrapText="1"/>
    </xf>
    <xf numFmtId="0" fontId="13" fillId="12" borderId="20" xfId="0" applyFont="1" applyFill="1" applyBorder="1" applyAlignment="1" applyProtection="1">
      <alignment horizontal="center" vertical="center" wrapText="1"/>
    </xf>
    <xf numFmtId="0" fontId="3" fillId="5" borderId="18" xfId="0" applyFont="1" applyFill="1" applyBorder="1" applyAlignment="1" applyProtection="1">
      <alignment horizontal="center" vertical="center" wrapText="1"/>
    </xf>
    <xf numFmtId="0" fontId="3" fillId="5" borderId="21" xfId="0" applyFont="1" applyFill="1" applyBorder="1" applyAlignment="1" applyProtection="1">
      <alignment horizontal="center" vertical="center" wrapText="1"/>
    </xf>
    <xf numFmtId="0" fontId="6" fillId="9" borderId="1" xfId="0" applyFont="1" applyFill="1" applyBorder="1" applyAlignment="1" applyProtection="1">
      <alignment horizontal="center" vertical="center" wrapText="1"/>
    </xf>
    <xf numFmtId="0" fontId="6" fillId="9" borderId="1" xfId="0" applyFont="1" applyFill="1" applyBorder="1" applyAlignment="1" applyProtection="1">
      <alignment horizontal="left" vertical="center" wrapText="1"/>
    </xf>
    <xf numFmtId="0" fontId="0" fillId="9" borderId="1" xfId="0" applyFill="1" applyBorder="1" applyProtection="1"/>
    <xf numFmtId="0" fontId="3" fillId="9" borderId="1" xfId="0" applyFont="1" applyFill="1" applyBorder="1" applyAlignment="1" applyProtection="1">
      <alignment horizontal="center" vertical="center" wrapText="1"/>
    </xf>
    <xf numFmtId="0" fontId="0" fillId="9" borderId="16" xfId="0" applyFill="1" applyBorder="1" applyProtection="1"/>
    <xf numFmtId="0" fontId="5" fillId="2" borderId="1" xfId="0" applyFont="1" applyFill="1" applyBorder="1" applyAlignment="1" applyProtection="1">
      <alignment horizontal="center" vertical="center" wrapText="1"/>
    </xf>
    <xf numFmtId="0" fontId="5" fillId="6" borderId="1" xfId="0" applyFont="1" applyFill="1" applyBorder="1" applyAlignment="1" applyProtection="1">
      <alignment horizontal="center" vertical="center" wrapText="1"/>
    </xf>
    <xf numFmtId="0" fontId="5" fillId="2" borderId="17" xfId="0" applyFont="1" applyFill="1" applyBorder="1" applyAlignment="1" applyProtection="1">
      <alignment horizontal="center" vertical="center" wrapText="1"/>
    </xf>
    <xf numFmtId="0" fontId="3" fillId="3" borderId="18" xfId="0" applyFont="1" applyFill="1" applyBorder="1" applyProtection="1"/>
    <xf numFmtId="0" fontId="3" fillId="3" borderId="18" xfId="0" applyFont="1" applyFill="1" applyBorder="1" applyAlignment="1" applyProtection="1">
      <alignment horizontal="left" vertical="center" wrapText="1"/>
    </xf>
    <xf numFmtId="164" fontId="3" fillId="3" borderId="18" xfId="0" applyNumberFormat="1" applyFont="1" applyFill="1" applyBorder="1" applyAlignment="1" applyProtection="1">
      <alignment horizontal="right" vertical="center"/>
    </xf>
    <xf numFmtId="0" fontId="0" fillId="3" borderId="18" xfId="0" applyFill="1" applyBorder="1" applyProtection="1"/>
    <xf numFmtId="0" fontId="0" fillId="3" borderId="21" xfId="0" applyFill="1" applyBorder="1" applyProtection="1"/>
    <xf numFmtId="0" fontId="4" fillId="6" borderId="17" xfId="0" applyFont="1" applyFill="1" applyBorder="1" applyProtection="1"/>
    <xf numFmtId="0" fontId="4" fillId="6" borderId="17" xfId="0" applyFont="1" applyFill="1" applyBorder="1" applyAlignment="1" applyProtection="1">
      <alignment horizontal="left" vertical="center" wrapText="1"/>
    </xf>
    <xf numFmtId="164" fontId="4" fillId="6" borderId="17" xfId="0" applyNumberFormat="1" applyFont="1" applyFill="1" applyBorder="1" applyAlignment="1" applyProtection="1">
      <alignment horizontal="right" vertical="center"/>
    </xf>
    <xf numFmtId="0" fontId="0" fillId="6" borderId="17" xfId="0" applyFill="1" applyBorder="1" applyProtection="1"/>
    <xf numFmtId="0" fontId="0" fillId="6" borderId="15" xfId="0" applyFill="1" applyBorder="1" applyProtection="1"/>
    <xf numFmtId="0" fontId="5" fillId="11" borderId="1" xfId="0" applyFont="1" applyFill="1" applyBorder="1" applyAlignment="1" applyProtection="1">
      <alignment horizontal="center" vertical="center" wrapText="1"/>
      <protection locked="0"/>
    </xf>
    <xf numFmtId="0" fontId="5" fillId="17" borderId="16" xfId="0" applyFont="1" applyFill="1" applyBorder="1" applyAlignment="1" applyProtection="1">
      <alignment horizontal="left" vertical="center" wrapText="1"/>
      <protection locked="0"/>
    </xf>
    <xf numFmtId="0" fontId="5" fillId="10" borderId="1" xfId="0" applyFont="1" applyFill="1" applyBorder="1" applyAlignment="1" applyProtection="1">
      <alignment horizontal="center" vertical="center" wrapText="1"/>
      <protection locked="0"/>
    </xf>
    <xf numFmtId="0" fontId="5" fillId="12" borderId="1" xfId="0" applyFont="1" applyFill="1" applyBorder="1" applyAlignment="1" applyProtection="1">
      <alignment horizontal="center" vertical="center" wrapText="1"/>
      <protection locked="0"/>
    </xf>
    <xf numFmtId="0" fontId="5" fillId="10" borderId="17" xfId="0" applyFont="1" applyFill="1" applyBorder="1" applyAlignment="1" applyProtection="1">
      <alignment horizontal="center" vertical="center" wrapText="1"/>
      <protection locked="0"/>
    </xf>
    <xf numFmtId="164" fontId="5" fillId="17" borderId="17" xfId="0" applyNumberFormat="1" applyFont="1" applyFill="1" applyBorder="1" applyAlignment="1" applyProtection="1">
      <alignment horizontal="right" vertical="center"/>
      <protection locked="0"/>
    </xf>
    <xf numFmtId="0" fontId="5" fillId="17" borderId="15" xfId="0" applyFont="1" applyFill="1" applyBorder="1" applyAlignment="1" applyProtection="1">
      <alignment horizontal="left" vertical="center" wrapText="1"/>
      <protection locked="0"/>
    </xf>
    <xf numFmtId="0" fontId="5" fillId="2" borderId="1" xfId="0" applyFont="1" applyFill="1" applyBorder="1" applyAlignment="1" applyProtection="1">
      <alignment horizontal="left" vertical="center" wrapText="1"/>
      <protection locked="0"/>
    </xf>
    <xf numFmtId="0" fontId="5" fillId="6" borderId="1" xfId="0" applyFont="1" applyFill="1" applyBorder="1" applyAlignment="1" applyProtection="1">
      <alignment horizontal="left" vertical="center" wrapText="1"/>
      <protection locked="0"/>
    </xf>
    <xf numFmtId="0" fontId="5" fillId="2" borderId="17" xfId="0" applyFont="1" applyFill="1" applyBorder="1" applyAlignment="1" applyProtection="1">
      <alignment horizontal="left" vertical="center" wrapText="1"/>
      <protection locked="0"/>
    </xf>
    <xf numFmtId="164" fontId="5" fillId="13" borderId="17" xfId="0" applyNumberFormat="1" applyFont="1" applyFill="1" applyBorder="1" applyAlignment="1">
      <alignment horizontal="right" vertical="center"/>
    </xf>
    <xf numFmtId="0" fontId="1" fillId="19" borderId="17" xfId="0" applyFont="1" applyFill="1" applyBorder="1" applyAlignment="1">
      <alignment horizontal="center" vertical="center" wrapText="1"/>
    </xf>
    <xf numFmtId="0" fontId="0" fillId="19" borderId="17" xfId="0" applyFill="1" applyBorder="1" applyAlignment="1">
      <alignment horizontal="center" vertical="center" wrapText="1"/>
    </xf>
    <xf numFmtId="0" fontId="4" fillId="13" borderId="17" xfId="0" applyFont="1" applyFill="1" applyBorder="1" applyAlignment="1">
      <alignment horizontal="left" vertical="center" wrapText="1"/>
    </xf>
    <xf numFmtId="164" fontId="5" fillId="13" borderId="2" xfId="0" applyNumberFormat="1" applyFont="1" applyFill="1" applyBorder="1" applyAlignment="1">
      <alignment horizontal="right" vertical="center"/>
    </xf>
    <xf numFmtId="165" fontId="5" fillId="13" borderId="15" xfId="0" applyNumberFormat="1" applyFont="1" applyFill="1" applyBorder="1" applyAlignment="1">
      <alignment horizontal="center" vertical="center" wrapText="1"/>
    </xf>
    <xf numFmtId="0" fontId="4" fillId="13" borderId="27" xfId="0" applyFont="1" applyFill="1" applyBorder="1" applyAlignment="1">
      <alignment horizontal="left" vertical="center" wrapText="1"/>
    </xf>
    <xf numFmtId="164" fontId="5" fillId="13" borderId="28" xfId="0" applyNumberFormat="1" applyFont="1" applyFill="1" applyBorder="1" applyAlignment="1">
      <alignment horizontal="right" vertical="center"/>
    </xf>
    <xf numFmtId="164" fontId="5" fillId="13" borderId="27" xfId="0" applyNumberFormat="1" applyFont="1" applyFill="1" applyBorder="1" applyAlignment="1">
      <alignment horizontal="right" vertical="center"/>
    </xf>
    <xf numFmtId="165" fontId="5" fillId="13" borderId="29" xfId="0" applyNumberFormat="1" applyFont="1" applyFill="1" applyBorder="1" applyAlignment="1">
      <alignment horizontal="center" vertical="center" wrapText="1"/>
    </xf>
    <xf numFmtId="0" fontId="3" fillId="24" borderId="2" xfId="0" applyFont="1" applyFill="1" applyBorder="1" applyAlignment="1">
      <alignment horizontal="center" vertical="center" wrapText="1"/>
    </xf>
    <xf numFmtId="0" fontId="3" fillId="24" borderId="17" xfId="0" applyFont="1" applyFill="1" applyBorder="1" applyAlignment="1">
      <alignment horizontal="center" vertical="center" wrapText="1"/>
    </xf>
    <xf numFmtId="0" fontId="3" fillId="24" borderId="15" xfId="0" applyFont="1" applyFill="1" applyBorder="1" applyAlignment="1">
      <alignment horizontal="center" vertical="center" wrapText="1"/>
    </xf>
    <xf numFmtId="0" fontId="4" fillId="22" borderId="27" xfId="0" applyFont="1" applyFill="1" applyBorder="1" applyAlignment="1">
      <alignment horizontal="left" vertical="center" wrapText="1"/>
    </xf>
    <xf numFmtId="164" fontId="5" fillId="22" borderId="28" xfId="0" applyNumberFormat="1" applyFont="1" applyFill="1" applyBorder="1" applyAlignment="1">
      <alignment horizontal="right" vertical="center"/>
    </xf>
    <xf numFmtId="164" fontId="5" fillId="22" borderId="27" xfId="0" applyNumberFormat="1" applyFont="1" applyFill="1" applyBorder="1" applyAlignment="1">
      <alignment horizontal="right" vertical="center"/>
    </xf>
    <xf numFmtId="165" fontId="5" fillId="22" borderId="29" xfId="0" applyNumberFormat="1" applyFont="1" applyFill="1" applyBorder="1" applyAlignment="1">
      <alignment horizontal="center" vertical="center" wrapText="1"/>
    </xf>
    <xf numFmtId="0" fontId="3" fillId="19" borderId="30" xfId="0" applyFont="1" applyFill="1" applyBorder="1" applyAlignment="1">
      <alignment horizontal="left" vertical="center" wrapText="1"/>
    </xf>
    <xf numFmtId="164" fontId="3" fillId="19" borderId="31" xfId="0" applyNumberFormat="1" applyFont="1" applyFill="1" applyBorder="1" applyAlignment="1">
      <alignment horizontal="right" vertical="center"/>
    </xf>
    <xf numFmtId="164" fontId="3" fillId="19" borderId="30" xfId="0" applyNumberFormat="1" applyFont="1" applyFill="1" applyBorder="1" applyAlignment="1">
      <alignment horizontal="right" vertical="center"/>
    </xf>
    <xf numFmtId="165" fontId="3" fillId="19" borderId="32" xfId="0" applyNumberFormat="1" applyFont="1" applyFill="1" applyBorder="1" applyAlignment="1">
      <alignment horizontal="center" vertical="center" wrapText="1"/>
    </xf>
    <xf numFmtId="0" fontId="4" fillId="22" borderId="18" xfId="0" applyFont="1" applyFill="1" applyBorder="1" applyAlignment="1">
      <alignment horizontal="left" vertical="center" wrapText="1"/>
    </xf>
    <xf numFmtId="164" fontId="5" fillId="22" borderId="19" xfId="0" applyNumberFormat="1" applyFont="1" applyFill="1" applyBorder="1" applyAlignment="1">
      <alignment horizontal="right" vertical="center"/>
    </xf>
    <xf numFmtId="164" fontId="5" fillId="22" borderId="18" xfId="0" applyNumberFormat="1" applyFont="1" applyFill="1" applyBorder="1" applyAlignment="1">
      <alignment horizontal="right" vertical="center"/>
    </xf>
    <xf numFmtId="165" fontId="5" fillId="22" borderId="21" xfId="0" applyNumberFormat="1" applyFont="1" applyFill="1" applyBorder="1" applyAlignment="1">
      <alignment horizontal="center" vertical="center" wrapText="1"/>
    </xf>
    <xf numFmtId="0" fontId="5" fillId="22" borderId="18" xfId="0" applyFont="1" applyFill="1" applyBorder="1" applyAlignment="1">
      <alignment horizontal="right" vertical="center"/>
    </xf>
    <xf numFmtId="0" fontId="2" fillId="19" borderId="17" xfId="0" applyFont="1" applyFill="1" applyBorder="1" applyAlignment="1">
      <alignment horizontal="center" vertical="center" wrapText="1"/>
    </xf>
    <xf numFmtId="0" fontId="4" fillId="25" borderId="17" xfId="0" applyFont="1" applyFill="1" applyBorder="1" applyAlignment="1">
      <alignment horizontal="left" vertical="center" wrapText="1"/>
    </xf>
    <xf numFmtId="0" fontId="8" fillId="25" borderId="2" xfId="0" applyFont="1" applyFill="1" applyBorder="1" applyAlignment="1">
      <alignment horizontal="center" vertical="center" wrapText="1"/>
    </xf>
    <xf numFmtId="0" fontId="0" fillId="25" borderId="17" xfId="0" applyFill="1" applyBorder="1" applyAlignment="1">
      <alignment horizontal="center" vertical="center" wrapText="1"/>
    </xf>
    <xf numFmtId="164" fontId="8" fillId="25" borderId="17" xfId="0" applyNumberFormat="1" applyFont="1" applyFill="1" applyBorder="1" applyAlignment="1">
      <alignment horizontal="right" vertical="center"/>
    </xf>
    <xf numFmtId="0" fontId="0" fillId="25" borderId="15" xfId="0" applyFill="1" applyBorder="1"/>
    <xf numFmtId="0" fontId="0" fillId="25" borderId="17" xfId="0" applyFill="1" applyBorder="1"/>
    <xf numFmtId="0" fontId="4" fillId="25" borderId="25" xfId="0" applyFont="1" applyFill="1" applyBorder="1" applyAlignment="1">
      <alignment horizontal="left" vertical="center" wrapText="1"/>
    </xf>
    <xf numFmtId="0" fontId="8" fillId="25" borderId="24" xfId="0" applyFont="1" applyFill="1" applyBorder="1" applyAlignment="1">
      <alignment horizontal="center" vertical="center" wrapText="1"/>
    </xf>
    <xf numFmtId="0" fontId="0" fillId="25" borderId="25" xfId="0" applyFill="1" applyBorder="1" applyAlignment="1">
      <alignment horizontal="center" vertical="center" wrapText="1"/>
    </xf>
    <xf numFmtId="164" fontId="8" fillId="25" borderId="25" xfId="0" applyNumberFormat="1" applyFont="1" applyFill="1" applyBorder="1" applyAlignment="1">
      <alignment horizontal="right" vertical="center"/>
    </xf>
    <xf numFmtId="0" fontId="0" fillId="25" borderId="26" xfId="0" applyFill="1" applyBorder="1"/>
    <xf numFmtId="0" fontId="0" fillId="25" borderId="25" xfId="0" applyFill="1" applyBorder="1"/>
    <xf numFmtId="0" fontId="4" fillId="26" borderId="27" xfId="0" applyFont="1" applyFill="1" applyBorder="1" applyAlignment="1">
      <alignment horizontal="left" vertical="center" wrapText="1"/>
    </xf>
    <xf numFmtId="0" fontId="9" fillId="26" borderId="28" xfId="0" applyFont="1" applyFill="1" applyBorder="1" applyAlignment="1">
      <alignment horizontal="center" vertical="center" wrapText="1"/>
    </xf>
    <xf numFmtId="0" fontId="0" fillId="26" borderId="27" xfId="0" applyFill="1" applyBorder="1" applyAlignment="1">
      <alignment horizontal="center" vertical="center" wrapText="1"/>
    </xf>
    <xf numFmtId="164" fontId="9" fillId="26" borderId="27" xfId="0" applyNumberFormat="1" applyFont="1" applyFill="1" applyBorder="1" applyAlignment="1">
      <alignment horizontal="right" vertical="center"/>
    </xf>
    <xf numFmtId="0" fontId="0" fillId="26" borderId="29" xfId="0" applyFill="1" applyBorder="1"/>
    <xf numFmtId="0" fontId="0" fillId="26" borderId="27" xfId="0" applyFill="1" applyBorder="1"/>
  </cellXfs>
  <cellStyles count="1">
    <cellStyle name="Standard" xfId="0" builtinId="0"/>
  </cellStyles>
  <dxfs count="54">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
      <font>
        <sz val="11"/>
        <color rgb="FFC0392B"/>
        <name val="Calibri"/>
      </font>
      <fill>
        <patternFill patternType="solid">
          <fgColor rgb="FFFDEDEC"/>
        </patternFill>
      </fill>
    </dxf>
    <dxf>
      <font>
        <sz val="11"/>
        <color rgb="FF1E8449"/>
        <name val="Calibri"/>
      </font>
      <fill>
        <patternFill patternType="solid">
          <fgColor rgb="FFE8F8F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9"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EE08E0E-557E-437D-83AC-535E83CBCD97}">
  <we:reference id="wa200009404" version="1.0.0.5" store="de-DE"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AFF"/>
  </sheetPr>
  <dimension ref="A1:I74"/>
  <sheetViews>
    <sheetView showGridLines="0" workbookViewId="0">
      <pane ySplit="8" topLeftCell="A9" activePane="bottomLeft" state="frozen"/>
      <selection pane="bottomLeft" activeCell="C34" sqref="C34"/>
    </sheetView>
  </sheetViews>
  <sheetFormatPr baseColWidth="10" defaultColWidth="9.140625" defaultRowHeight="15" x14ac:dyDescent="0.25"/>
  <cols>
    <col min="1" max="1" width="2.85546875" customWidth="1"/>
    <col min="2" max="2" width="22.85546875" customWidth="1"/>
    <col min="3" max="7" width="19" customWidth="1"/>
    <col min="8" max="8" width="2.85546875" customWidth="1"/>
    <col min="9" max="9" width="3" customWidth="1"/>
  </cols>
  <sheetData>
    <row r="1" spans="1:9" ht="9.9499999999999993" customHeight="1" x14ac:dyDescent="0.25">
      <c r="A1" s="28"/>
      <c r="B1" s="28"/>
      <c r="C1" s="28"/>
      <c r="D1" s="28"/>
      <c r="E1" s="28"/>
      <c r="F1" s="28"/>
      <c r="G1" s="28"/>
      <c r="H1" s="28"/>
      <c r="I1" s="1"/>
    </row>
    <row r="2" spans="1:9" ht="39.950000000000003" customHeight="1" x14ac:dyDescent="0.55000000000000004">
      <c r="A2" s="28"/>
      <c r="B2" s="14" t="s">
        <v>211</v>
      </c>
      <c r="C2" s="28"/>
      <c r="D2" s="28"/>
      <c r="E2" s="28"/>
      <c r="F2" s="28"/>
      <c r="G2" s="15" t="s">
        <v>212</v>
      </c>
      <c r="H2" s="28"/>
      <c r="I2" s="1"/>
    </row>
    <row r="3" spans="1:9" ht="20.100000000000001" customHeight="1" x14ac:dyDescent="0.25">
      <c r="A3" s="28"/>
      <c r="B3" s="16" t="s">
        <v>213</v>
      </c>
      <c r="C3" s="28"/>
      <c r="D3" s="28"/>
      <c r="E3" s="28"/>
      <c r="F3" s="28"/>
      <c r="G3" s="28"/>
      <c r="H3" s="28"/>
      <c r="I3" s="1"/>
    </row>
    <row r="4" spans="1:9" ht="8.1" customHeight="1" x14ac:dyDescent="0.25">
      <c r="A4" s="28"/>
      <c r="B4" s="28"/>
      <c r="C4" s="28"/>
      <c r="D4" s="28"/>
      <c r="E4" s="28"/>
      <c r="F4" s="28"/>
      <c r="G4" s="28"/>
      <c r="H4" s="28"/>
      <c r="I4" s="1"/>
    </row>
    <row r="5" spans="1:9" ht="21.95" customHeight="1" x14ac:dyDescent="0.25">
      <c r="A5" s="28"/>
      <c r="B5" s="5" t="s">
        <v>82</v>
      </c>
      <c r="C5" s="29"/>
      <c r="D5" s="5" t="s">
        <v>83</v>
      </c>
      <c r="E5" s="29"/>
      <c r="F5" s="5" t="s">
        <v>108</v>
      </c>
      <c r="G5" s="9" t="s">
        <v>5</v>
      </c>
      <c r="H5" s="28"/>
      <c r="I5" s="1"/>
    </row>
    <row r="6" spans="1:9" ht="38.1" customHeight="1" x14ac:dyDescent="0.45">
      <c r="A6" s="28"/>
      <c r="B6" s="6">
        <f>'📈 Annual Summary'!C15</f>
        <v>18185</v>
      </c>
      <c r="C6" s="30"/>
      <c r="D6" s="7">
        <f>'📈 Annual Summary'!D15</f>
        <v>16405</v>
      </c>
      <c r="E6" s="30"/>
      <c r="F6" s="8">
        <f>'📈 Annual Summary'!E15</f>
        <v>1780</v>
      </c>
      <c r="G6" s="10">
        <f>IF('📈 Annual Summary'!C15=0,"",'📈 Annual Summary'!E15/'📈 Annual Summary'!C15)</f>
        <v>9.7882870497662908E-2</v>
      </c>
      <c r="H6" s="28"/>
      <c r="I6" s="1"/>
    </row>
    <row r="7" spans="1:9" ht="6" customHeight="1" x14ac:dyDescent="0.25">
      <c r="A7" s="28"/>
      <c r="B7" s="31"/>
      <c r="C7" s="32"/>
      <c r="D7" s="31"/>
      <c r="E7" s="32"/>
      <c r="F7" s="31"/>
      <c r="G7" s="33"/>
      <c r="H7" s="28"/>
      <c r="I7" s="1"/>
    </row>
    <row r="8" spans="1:9" ht="12" customHeight="1" x14ac:dyDescent="0.25">
      <c r="A8" s="28"/>
      <c r="B8" s="28"/>
      <c r="C8" s="28"/>
      <c r="D8" s="28"/>
      <c r="E8" s="28"/>
      <c r="F8" s="28"/>
      <c r="G8" s="28"/>
      <c r="H8" s="28"/>
      <c r="I8" s="1"/>
    </row>
    <row r="9" spans="1:9" ht="26.1" customHeight="1" x14ac:dyDescent="0.3">
      <c r="A9" s="28"/>
      <c r="B9" s="17" t="s">
        <v>214</v>
      </c>
      <c r="C9" s="28"/>
      <c r="D9" s="28"/>
      <c r="E9" s="28"/>
      <c r="F9" s="28"/>
      <c r="G9" s="28"/>
      <c r="H9" s="28"/>
      <c r="I9" s="1"/>
    </row>
    <row r="10" spans="1:9" ht="21.95" customHeight="1" x14ac:dyDescent="0.25">
      <c r="A10" s="28"/>
      <c r="B10" s="2" t="s">
        <v>1</v>
      </c>
      <c r="C10" s="3" t="s">
        <v>2</v>
      </c>
      <c r="D10" s="3" t="s">
        <v>3</v>
      </c>
      <c r="E10" s="3" t="s">
        <v>4</v>
      </c>
      <c r="F10" s="4" t="s">
        <v>215</v>
      </c>
      <c r="G10" s="3" t="s">
        <v>216</v>
      </c>
      <c r="H10" s="28"/>
      <c r="I10" s="1"/>
    </row>
    <row r="11" spans="1:9" ht="24" customHeight="1" x14ac:dyDescent="0.25">
      <c r="A11" s="28"/>
      <c r="B11" s="18" t="s">
        <v>7</v>
      </c>
      <c r="C11" s="19">
        <f>'📈 Annual Summary'!C3</f>
        <v>5945</v>
      </c>
      <c r="D11" s="19">
        <f>'📈 Annual Summary'!D3</f>
        <v>5305</v>
      </c>
      <c r="E11" s="20">
        <f>C11-D11</f>
        <v>640</v>
      </c>
      <c r="F11" s="21">
        <f>IF(C11=0,"",E11/C11)</f>
        <v>0.10765349032800672</v>
      </c>
      <c r="G11" s="22">
        <f>E11</f>
        <v>640</v>
      </c>
      <c r="H11" s="28"/>
      <c r="I11" s="1"/>
    </row>
    <row r="12" spans="1:9" ht="24" customHeight="1" x14ac:dyDescent="0.25">
      <c r="A12" s="28"/>
      <c r="B12" s="18" t="s">
        <v>8</v>
      </c>
      <c r="C12" s="19">
        <f>'📈 Annual Summary'!C4</f>
        <v>6080</v>
      </c>
      <c r="D12" s="19">
        <f>'📈 Annual Summary'!D4</f>
        <v>5450</v>
      </c>
      <c r="E12" s="20">
        <f>C12-D12</f>
        <v>630</v>
      </c>
      <c r="F12" s="21">
        <f>IF(C12=0,"",E12/C12)</f>
        <v>0.10361842105263158</v>
      </c>
      <c r="G12" s="22">
        <f>G11+E12</f>
        <v>1270</v>
      </c>
      <c r="H12" s="28"/>
      <c r="I12" s="1"/>
    </row>
    <row r="13" spans="1:9" ht="24" customHeight="1" x14ac:dyDescent="0.25">
      <c r="A13" s="28"/>
      <c r="B13" s="18" t="s">
        <v>9</v>
      </c>
      <c r="C13" s="19">
        <f>'📈 Annual Summary'!C5</f>
        <v>6160</v>
      </c>
      <c r="D13" s="19">
        <f>'📈 Annual Summary'!D5</f>
        <v>5650</v>
      </c>
      <c r="E13" s="20">
        <f>C13-D13</f>
        <v>510</v>
      </c>
      <c r="F13" s="21">
        <f>IF(C13=0,"",E13/C13)</f>
        <v>8.2792207792207792E-2</v>
      </c>
      <c r="G13" s="22">
        <f>G12+E13</f>
        <v>1780</v>
      </c>
      <c r="H13" s="28"/>
      <c r="I13" s="1"/>
    </row>
    <row r="14" spans="1:9" ht="24" customHeight="1" x14ac:dyDescent="0.25">
      <c r="A14" s="28"/>
      <c r="B14" s="18" t="s">
        <v>10</v>
      </c>
      <c r="C14" s="19">
        <f>'📈 Annual Summary'!C6</f>
        <v>0</v>
      </c>
      <c r="D14" s="19">
        <f>'📈 Annual Summary'!D6</f>
        <v>0</v>
      </c>
      <c r="E14" s="20">
        <f>C14-D14</f>
        <v>0</v>
      </c>
      <c r="F14" s="21" t="str">
        <f>IF(C14=0,"",E14/C14)</f>
        <v/>
      </c>
      <c r="G14" s="22">
        <f>G13+E14</f>
        <v>1780</v>
      </c>
      <c r="H14" s="28"/>
      <c r="I14" s="1"/>
    </row>
    <row r="15" spans="1:9" ht="24" customHeight="1" x14ac:dyDescent="0.25">
      <c r="A15" s="28"/>
      <c r="B15" s="18" t="s">
        <v>11</v>
      </c>
      <c r="C15" s="19">
        <f>'📈 Annual Summary'!C7</f>
        <v>0</v>
      </c>
      <c r="D15" s="19">
        <f>'📈 Annual Summary'!D7</f>
        <v>0</v>
      </c>
      <c r="E15" s="20">
        <f>C15-D15</f>
        <v>0</v>
      </c>
      <c r="F15" s="21" t="str">
        <f>IF(C15=0,"",E15/C15)</f>
        <v/>
      </c>
      <c r="G15" s="22">
        <f>G14+E15</f>
        <v>1780</v>
      </c>
      <c r="H15" s="28"/>
      <c r="I15" s="1"/>
    </row>
    <row r="16" spans="1:9" ht="24" customHeight="1" x14ac:dyDescent="0.25">
      <c r="A16" s="28"/>
      <c r="B16" s="18" t="s">
        <v>12</v>
      </c>
      <c r="C16" s="19">
        <f>'📈 Annual Summary'!C8</f>
        <v>0</v>
      </c>
      <c r="D16" s="19">
        <f>'📈 Annual Summary'!D8</f>
        <v>0</v>
      </c>
      <c r="E16" s="20">
        <f>C16-D16</f>
        <v>0</v>
      </c>
      <c r="F16" s="21" t="str">
        <f>IF(C16=0,"",E16/C16)</f>
        <v/>
      </c>
      <c r="G16" s="22">
        <f>G15+E16</f>
        <v>1780</v>
      </c>
      <c r="H16" s="28"/>
      <c r="I16" s="1"/>
    </row>
    <row r="17" spans="1:9" ht="24" customHeight="1" x14ac:dyDescent="0.25">
      <c r="A17" s="28"/>
      <c r="B17" s="18" t="s">
        <v>13</v>
      </c>
      <c r="C17" s="19">
        <f>'📈 Annual Summary'!C9</f>
        <v>0</v>
      </c>
      <c r="D17" s="19">
        <f>'📈 Annual Summary'!D9</f>
        <v>0</v>
      </c>
      <c r="E17" s="20">
        <f>C17-D17</f>
        <v>0</v>
      </c>
      <c r="F17" s="21" t="str">
        <f>IF(C17=0,"",E17/C17)</f>
        <v/>
      </c>
      <c r="G17" s="22">
        <f>G16+E17</f>
        <v>1780</v>
      </c>
      <c r="H17" s="28"/>
      <c r="I17" s="1"/>
    </row>
    <row r="18" spans="1:9" ht="24" customHeight="1" x14ac:dyDescent="0.25">
      <c r="A18" s="28"/>
      <c r="B18" s="18" t="s">
        <v>14</v>
      </c>
      <c r="C18" s="19">
        <f>'📈 Annual Summary'!C10</f>
        <v>0</v>
      </c>
      <c r="D18" s="19">
        <f>'📈 Annual Summary'!D10</f>
        <v>0</v>
      </c>
      <c r="E18" s="20">
        <f>C18-D18</f>
        <v>0</v>
      </c>
      <c r="F18" s="21" t="str">
        <f>IF(C18=0,"",E18/C18)</f>
        <v/>
      </c>
      <c r="G18" s="22">
        <f>G17+E18</f>
        <v>1780</v>
      </c>
      <c r="H18" s="28"/>
      <c r="I18" s="1"/>
    </row>
    <row r="19" spans="1:9" ht="24" customHeight="1" x14ac:dyDescent="0.25">
      <c r="A19" s="28"/>
      <c r="B19" s="18" t="s">
        <v>15</v>
      </c>
      <c r="C19" s="19">
        <f>'📈 Annual Summary'!C11</f>
        <v>0</v>
      </c>
      <c r="D19" s="19">
        <f>'📈 Annual Summary'!D11</f>
        <v>0</v>
      </c>
      <c r="E19" s="20">
        <f>C19-D19</f>
        <v>0</v>
      </c>
      <c r="F19" s="21" t="str">
        <f>IF(C19=0,"",E19/C19)</f>
        <v/>
      </c>
      <c r="G19" s="22">
        <f>G18+E19</f>
        <v>1780</v>
      </c>
      <c r="H19" s="28"/>
      <c r="I19" s="1"/>
    </row>
    <row r="20" spans="1:9" ht="24" customHeight="1" x14ac:dyDescent="0.25">
      <c r="A20" s="28"/>
      <c r="B20" s="18" t="s">
        <v>16</v>
      </c>
      <c r="C20" s="19">
        <f>'📈 Annual Summary'!C12</f>
        <v>0</v>
      </c>
      <c r="D20" s="19">
        <f>'📈 Annual Summary'!D12</f>
        <v>0</v>
      </c>
      <c r="E20" s="20">
        <f>C20-D20</f>
        <v>0</v>
      </c>
      <c r="F20" s="21" t="str">
        <f>IF(C20=0,"",E20/C20)</f>
        <v/>
      </c>
      <c r="G20" s="22">
        <f>G19+E20</f>
        <v>1780</v>
      </c>
      <c r="H20" s="28"/>
      <c r="I20" s="1"/>
    </row>
    <row r="21" spans="1:9" ht="24" customHeight="1" x14ac:dyDescent="0.25">
      <c r="A21" s="28"/>
      <c r="B21" s="18" t="s">
        <v>17</v>
      </c>
      <c r="C21" s="19">
        <f>'📈 Annual Summary'!C13</f>
        <v>0</v>
      </c>
      <c r="D21" s="19">
        <f>'📈 Annual Summary'!D13</f>
        <v>0</v>
      </c>
      <c r="E21" s="20">
        <f>C21-D21</f>
        <v>0</v>
      </c>
      <c r="F21" s="21" t="str">
        <f>IF(C21=0,"",E21/C21)</f>
        <v/>
      </c>
      <c r="G21" s="22">
        <f>G20+E21</f>
        <v>1780</v>
      </c>
      <c r="H21" s="28"/>
      <c r="I21" s="1"/>
    </row>
    <row r="22" spans="1:9" ht="24" customHeight="1" thickBot="1" x14ac:dyDescent="0.3">
      <c r="A22" s="28"/>
      <c r="B22" s="18" t="s">
        <v>18</v>
      </c>
      <c r="C22" s="19">
        <f>'📈 Annual Summary'!C14</f>
        <v>0</v>
      </c>
      <c r="D22" s="19">
        <f>'📈 Annual Summary'!D14</f>
        <v>0</v>
      </c>
      <c r="E22" s="20">
        <f>C22-D22</f>
        <v>0</v>
      </c>
      <c r="F22" s="21" t="str">
        <f>IF(C22=0,"",E22/C22)</f>
        <v/>
      </c>
      <c r="G22" s="22">
        <f>G21+E22</f>
        <v>1780</v>
      </c>
      <c r="H22" s="28"/>
      <c r="I22" s="1"/>
    </row>
    <row r="23" spans="1:9" ht="27.95" customHeight="1" x14ac:dyDescent="0.25">
      <c r="A23" s="28"/>
      <c r="B23" s="23" t="s">
        <v>217</v>
      </c>
      <c r="C23" s="24">
        <f>SUM(C11:C22)</f>
        <v>18185</v>
      </c>
      <c r="D23" s="24">
        <f>SUM(D11:D22)</f>
        <v>16405</v>
      </c>
      <c r="E23" s="25">
        <f>C23-D23</f>
        <v>1780</v>
      </c>
      <c r="F23" s="26">
        <f>IF(C23=0,"",E23/C23)</f>
        <v>9.7882870497662908E-2</v>
      </c>
      <c r="G23" s="27">
        <f>G22</f>
        <v>1780</v>
      </c>
      <c r="H23" s="28"/>
      <c r="I23" s="1"/>
    </row>
    <row r="24" spans="1:9" ht="12" customHeight="1" x14ac:dyDescent="0.25">
      <c r="A24" s="28"/>
      <c r="B24" s="28"/>
      <c r="C24" s="28"/>
      <c r="D24" s="28"/>
      <c r="E24" s="28"/>
      <c r="F24" s="28"/>
      <c r="G24" s="28"/>
      <c r="H24" s="28"/>
      <c r="I24" s="1"/>
    </row>
    <row r="25" spans="1:9" ht="24" customHeight="1" x14ac:dyDescent="0.25">
      <c r="A25" s="28"/>
      <c r="B25" s="11" t="s">
        <v>218</v>
      </c>
      <c r="C25" s="34"/>
      <c r="D25" s="34"/>
      <c r="E25" s="34"/>
      <c r="F25" s="34"/>
      <c r="G25" s="35"/>
      <c r="H25" s="28"/>
      <c r="I25" s="1"/>
    </row>
    <row r="26" spans="1:9" x14ac:dyDescent="0.25">
      <c r="A26" s="36"/>
      <c r="B26" s="36"/>
      <c r="C26" s="36"/>
      <c r="D26" s="36"/>
      <c r="E26" s="36"/>
      <c r="F26" s="36"/>
      <c r="G26" s="36"/>
      <c r="H26" s="36"/>
      <c r="I26" s="1"/>
    </row>
    <row r="27" spans="1:9" x14ac:dyDescent="0.25">
      <c r="A27" s="36"/>
      <c r="B27" s="36"/>
      <c r="C27" s="36"/>
      <c r="D27" s="36"/>
      <c r="E27" s="36"/>
      <c r="F27" s="36"/>
      <c r="G27" s="36"/>
      <c r="H27" s="36"/>
      <c r="I27" s="1"/>
    </row>
    <row r="28" spans="1:9" x14ac:dyDescent="0.25">
      <c r="A28" s="36"/>
      <c r="B28" s="36"/>
      <c r="C28" s="36"/>
      <c r="D28" s="36"/>
      <c r="E28" s="36"/>
      <c r="F28" s="36"/>
      <c r="G28" s="36"/>
      <c r="H28" s="36"/>
      <c r="I28" s="1"/>
    </row>
    <row r="29" spans="1:9" x14ac:dyDescent="0.25">
      <c r="A29" s="36"/>
      <c r="B29" s="36"/>
      <c r="C29" s="36"/>
      <c r="D29" s="36"/>
      <c r="E29" s="36"/>
      <c r="F29" s="36"/>
      <c r="G29" s="36"/>
      <c r="H29" s="36"/>
      <c r="I29" s="1"/>
    </row>
    <row r="30" spans="1:9" x14ac:dyDescent="0.25">
      <c r="A30" s="36"/>
      <c r="B30" s="36"/>
      <c r="C30" s="36"/>
      <c r="D30" s="36"/>
      <c r="E30" s="36"/>
      <c r="F30" s="36"/>
      <c r="G30" s="36"/>
      <c r="H30" s="36"/>
      <c r="I30" s="1"/>
    </row>
    <row r="31" spans="1:9" x14ac:dyDescent="0.25">
      <c r="A31" s="36"/>
      <c r="B31" s="36"/>
      <c r="C31" s="36"/>
      <c r="D31" s="36"/>
      <c r="E31" s="36"/>
      <c r="F31" s="36"/>
      <c r="G31" s="36"/>
      <c r="H31" s="36"/>
      <c r="I31" s="1"/>
    </row>
    <row r="32" spans="1:9" x14ac:dyDescent="0.25">
      <c r="A32" s="36"/>
      <c r="B32" s="36"/>
      <c r="C32" s="36"/>
      <c r="D32" s="36"/>
      <c r="E32" s="36"/>
      <c r="F32" s="36"/>
      <c r="G32" s="36"/>
      <c r="H32" s="36"/>
      <c r="I32" s="1"/>
    </row>
    <row r="33" spans="1:9" x14ac:dyDescent="0.25">
      <c r="A33" s="36"/>
      <c r="B33" s="36"/>
      <c r="C33" s="36"/>
      <c r="D33" s="36"/>
      <c r="E33" s="36"/>
      <c r="F33" s="36"/>
      <c r="G33" s="36"/>
      <c r="H33" s="36"/>
      <c r="I33" s="1"/>
    </row>
    <row r="34" spans="1:9" x14ac:dyDescent="0.25">
      <c r="A34" s="36"/>
      <c r="B34" s="36"/>
      <c r="C34" s="36"/>
      <c r="D34" s="36"/>
      <c r="E34" s="36"/>
      <c r="F34" s="36"/>
      <c r="G34" s="36"/>
      <c r="H34" s="36"/>
      <c r="I34" s="1"/>
    </row>
    <row r="35" spans="1:9" x14ac:dyDescent="0.25">
      <c r="A35" s="36"/>
      <c r="B35" s="36"/>
      <c r="C35" s="36"/>
      <c r="D35" s="36"/>
      <c r="E35" s="36"/>
      <c r="F35" s="36"/>
      <c r="G35" s="36"/>
      <c r="H35" s="36"/>
      <c r="I35" s="1"/>
    </row>
    <row r="36" spans="1:9" x14ac:dyDescent="0.25">
      <c r="A36" s="36"/>
      <c r="B36" s="36"/>
      <c r="C36" s="36"/>
      <c r="D36" s="36"/>
      <c r="E36" s="36"/>
      <c r="F36" s="36"/>
      <c r="G36" s="36"/>
      <c r="H36" s="36"/>
      <c r="I36" s="1"/>
    </row>
    <row r="37" spans="1:9" x14ac:dyDescent="0.25">
      <c r="A37" s="36"/>
      <c r="B37" s="36"/>
      <c r="C37" s="36"/>
      <c r="D37" s="36"/>
      <c r="E37" s="36"/>
      <c r="F37" s="36"/>
      <c r="G37" s="36"/>
      <c r="H37" s="36"/>
      <c r="I37" s="1"/>
    </row>
    <row r="38" spans="1:9" x14ac:dyDescent="0.25">
      <c r="A38" s="36"/>
      <c r="B38" s="36"/>
      <c r="C38" s="36"/>
      <c r="D38" s="36"/>
      <c r="E38" s="36"/>
      <c r="F38" s="36"/>
      <c r="G38" s="36"/>
      <c r="H38" s="36"/>
      <c r="I38" s="1"/>
    </row>
    <row r="39" spans="1:9" x14ac:dyDescent="0.25">
      <c r="A39" s="36"/>
      <c r="B39" s="36"/>
      <c r="C39" s="36"/>
      <c r="D39" s="36"/>
      <c r="E39" s="36"/>
      <c r="F39" s="36"/>
      <c r="G39" s="36"/>
      <c r="H39" s="36"/>
      <c r="I39" s="1"/>
    </row>
    <row r="40" spans="1:9" x14ac:dyDescent="0.25">
      <c r="A40" s="36"/>
      <c r="B40" s="36"/>
      <c r="C40" s="36"/>
      <c r="D40" s="36"/>
      <c r="E40" s="36"/>
      <c r="F40" s="36"/>
      <c r="G40" s="36"/>
      <c r="H40" s="36"/>
      <c r="I40" s="1"/>
    </row>
    <row r="41" spans="1:9" x14ac:dyDescent="0.25">
      <c r="A41" s="36"/>
      <c r="B41" s="36"/>
      <c r="C41" s="36"/>
      <c r="D41" s="36"/>
      <c r="E41" s="36"/>
      <c r="F41" s="36"/>
      <c r="G41" s="36"/>
      <c r="H41" s="36"/>
      <c r="I41" s="1"/>
    </row>
    <row r="42" spans="1:9" x14ac:dyDescent="0.25">
      <c r="A42" s="36"/>
      <c r="B42" s="36"/>
      <c r="C42" s="36"/>
      <c r="D42" s="36"/>
      <c r="E42" s="36"/>
      <c r="F42" s="36"/>
      <c r="G42" s="36"/>
      <c r="H42" s="36"/>
      <c r="I42" s="1"/>
    </row>
    <row r="43" spans="1:9" x14ac:dyDescent="0.25">
      <c r="A43" s="36"/>
      <c r="B43" s="36"/>
      <c r="C43" s="36"/>
      <c r="D43" s="36"/>
      <c r="E43" s="36"/>
      <c r="F43" s="36"/>
      <c r="G43" s="36"/>
      <c r="H43" s="36"/>
      <c r="I43" s="1"/>
    </row>
    <row r="44" spans="1:9" x14ac:dyDescent="0.25">
      <c r="A44" s="1"/>
      <c r="B44" s="1"/>
      <c r="C44" s="1"/>
      <c r="D44" s="1"/>
      <c r="E44" s="1"/>
      <c r="F44" s="1"/>
      <c r="G44" s="1"/>
      <c r="H44" s="1"/>
      <c r="I44" s="1"/>
    </row>
    <row r="45" spans="1:9" x14ac:dyDescent="0.25">
      <c r="A45" s="1"/>
      <c r="B45" s="1"/>
      <c r="C45" s="1"/>
      <c r="D45" s="1"/>
      <c r="E45" s="1"/>
      <c r="F45" s="1"/>
      <c r="G45" s="1"/>
      <c r="H45" s="1"/>
      <c r="I45" s="1"/>
    </row>
    <row r="46" spans="1:9" x14ac:dyDescent="0.25">
      <c r="A46" s="1"/>
      <c r="B46" s="1"/>
      <c r="C46" s="1"/>
      <c r="D46" s="1"/>
      <c r="E46" s="1"/>
      <c r="F46" s="1"/>
      <c r="G46" s="1"/>
      <c r="H46" s="1"/>
      <c r="I46" s="1"/>
    </row>
    <row r="47" spans="1:9" x14ac:dyDescent="0.25">
      <c r="A47" s="1"/>
      <c r="B47" s="1"/>
      <c r="C47" s="1"/>
      <c r="D47" s="1"/>
      <c r="E47" s="1"/>
      <c r="F47" s="1"/>
      <c r="G47" s="1"/>
      <c r="H47" s="1"/>
      <c r="I47" s="1"/>
    </row>
    <row r="48" spans="1:9" x14ac:dyDescent="0.25">
      <c r="A48" s="1"/>
      <c r="B48" s="1"/>
      <c r="C48" s="1"/>
      <c r="D48" s="1"/>
      <c r="E48" s="1"/>
      <c r="F48" s="1"/>
      <c r="G48" s="1"/>
      <c r="H48" s="1"/>
      <c r="I48" s="1"/>
    </row>
    <row r="49" spans="1:9" x14ac:dyDescent="0.25">
      <c r="A49" s="1"/>
      <c r="B49" s="1"/>
      <c r="C49" s="1"/>
      <c r="D49" s="1"/>
      <c r="E49" s="1"/>
      <c r="F49" s="1"/>
      <c r="G49" s="1"/>
      <c r="H49" s="1"/>
      <c r="I49" s="1"/>
    </row>
    <row r="50" spans="1:9" x14ac:dyDescent="0.25">
      <c r="A50" s="1"/>
      <c r="B50" s="1"/>
      <c r="C50" s="1"/>
      <c r="D50" s="1"/>
      <c r="E50" s="1"/>
      <c r="F50" s="1"/>
      <c r="G50" s="1"/>
      <c r="H50" s="1"/>
      <c r="I50" s="1"/>
    </row>
    <row r="51" spans="1:9" x14ac:dyDescent="0.25">
      <c r="A51" s="1"/>
      <c r="B51" s="1"/>
      <c r="C51" s="1"/>
      <c r="D51" s="1"/>
      <c r="E51" s="1"/>
      <c r="F51" s="1"/>
      <c r="G51" s="1"/>
      <c r="H51" s="1"/>
      <c r="I51" s="1"/>
    </row>
    <row r="52" spans="1:9" x14ac:dyDescent="0.25">
      <c r="A52" s="1"/>
      <c r="B52" s="1"/>
      <c r="C52" s="1"/>
      <c r="D52" s="1"/>
      <c r="E52" s="1"/>
      <c r="F52" s="1"/>
      <c r="G52" s="1"/>
      <c r="H52" s="1"/>
      <c r="I52" s="1"/>
    </row>
    <row r="53" spans="1:9" x14ac:dyDescent="0.25">
      <c r="A53" s="1"/>
      <c r="B53" s="1"/>
      <c r="C53" s="1"/>
      <c r="D53" s="1"/>
      <c r="E53" s="1"/>
      <c r="F53" s="1"/>
      <c r="G53" s="1"/>
      <c r="H53" s="1"/>
      <c r="I53" s="1"/>
    </row>
    <row r="54" spans="1:9" x14ac:dyDescent="0.25">
      <c r="A54" s="1"/>
      <c r="B54" s="1"/>
      <c r="C54" s="1"/>
      <c r="D54" s="1"/>
      <c r="E54" s="1"/>
      <c r="F54" s="1"/>
      <c r="G54" s="1"/>
      <c r="H54" s="1"/>
      <c r="I54" s="1"/>
    </row>
    <row r="55" spans="1:9" x14ac:dyDescent="0.25">
      <c r="A55" s="1"/>
      <c r="B55" s="1"/>
      <c r="C55" s="1"/>
      <c r="D55" s="1"/>
      <c r="E55" s="1"/>
      <c r="F55" s="1"/>
      <c r="G55" s="1"/>
      <c r="H55" s="1"/>
      <c r="I55" s="1"/>
    </row>
    <row r="56" spans="1:9" x14ac:dyDescent="0.25">
      <c r="A56" s="1"/>
      <c r="B56" s="1"/>
      <c r="C56" s="1"/>
      <c r="D56" s="1"/>
      <c r="E56" s="1"/>
      <c r="F56" s="1"/>
      <c r="G56" s="1"/>
      <c r="H56" s="1"/>
      <c r="I56" s="1"/>
    </row>
    <row r="57" spans="1:9" x14ac:dyDescent="0.25">
      <c r="A57" s="1"/>
      <c r="B57" s="1"/>
      <c r="C57" s="1"/>
      <c r="D57" s="1"/>
      <c r="E57" s="1"/>
      <c r="F57" s="1"/>
      <c r="G57" s="1"/>
      <c r="H57" s="1"/>
      <c r="I57" s="1"/>
    </row>
    <row r="58" spans="1:9" x14ac:dyDescent="0.25">
      <c r="A58" s="1"/>
      <c r="B58" s="1"/>
      <c r="C58" s="1"/>
      <c r="D58" s="1"/>
      <c r="E58" s="1"/>
      <c r="F58" s="1"/>
      <c r="G58" s="1"/>
      <c r="H58" s="1"/>
      <c r="I58" s="1"/>
    </row>
    <row r="59" spans="1:9" x14ac:dyDescent="0.25">
      <c r="A59" s="1"/>
      <c r="B59" s="1"/>
      <c r="C59" s="1"/>
      <c r="D59" s="1"/>
      <c r="E59" s="1"/>
      <c r="F59" s="1"/>
      <c r="G59" s="1"/>
      <c r="H59" s="1"/>
      <c r="I59" s="1"/>
    </row>
    <row r="60" spans="1:9" x14ac:dyDescent="0.25">
      <c r="A60" s="1"/>
      <c r="B60" s="1"/>
      <c r="C60" s="1"/>
      <c r="D60" s="1"/>
      <c r="E60" s="1"/>
      <c r="F60" s="1"/>
      <c r="G60" s="1"/>
      <c r="H60" s="1"/>
      <c r="I60" s="1"/>
    </row>
    <row r="61" spans="1:9" x14ac:dyDescent="0.25">
      <c r="A61" s="1"/>
      <c r="B61" s="1"/>
      <c r="C61" s="1"/>
      <c r="D61" s="1"/>
      <c r="E61" s="1"/>
      <c r="F61" s="1"/>
      <c r="G61" s="1"/>
      <c r="H61" s="1"/>
      <c r="I61" s="1"/>
    </row>
    <row r="62" spans="1:9" x14ac:dyDescent="0.25">
      <c r="A62" s="1"/>
      <c r="B62" s="1"/>
      <c r="C62" s="1"/>
      <c r="D62" s="1"/>
      <c r="E62" s="1"/>
      <c r="F62" s="1"/>
      <c r="G62" s="1"/>
      <c r="H62" s="1"/>
      <c r="I62" s="1"/>
    </row>
    <row r="63" spans="1:9" x14ac:dyDescent="0.25">
      <c r="A63" s="1"/>
      <c r="B63" s="1"/>
      <c r="C63" s="1"/>
      <c r="D63" s="1"/>
      <c r="E63" s="1"/>
      <c r="F63" s="1"/>
      <c r="G63" s="1"/>
      <c r="H63" s="1"/>
      <c r="I63" s="1"/>
    </row>
    <row r="64" spans="1:9" x14ac:dyDescent="0.25">
      <c r="A64" s="1"/>
      <c r="B64" s="1"/>
      <c r="C64" s="1"/>
      <c r="D64" s="1"/>
      <c r="E64" s="1"/>
      <c r="F64" s="1"/>
      <c r="G64" s="1"/>
      <c r="H64" s="1"/>
      <c r="I64" s="1"/>
    </row>
    <row r="65" spans="1:9" x14ac:dyDescent="0.25">
      <c r="A65" s="1"/>
      <c r="B65" s="1"/>
      <c r="C65" s="1"/>
      <c r="D65" s="1"/>
      <c r="E65" s="1"/>
      <c r="F65" s="1"/>
      <c r="G65" s="1"/>
      <c r="H65" s="1"/>
      <c r="I65" s="1"/>
    </row>
    <row r="66" spans="1:9" x14ac:dyDescent="0.25">
      <c r="A66" s="1"/>
      <c r="B66" s="1"/>
      <c r="C66" s="1"/>
      <c r="D66" s="1"/>
      <c r="E66" s="1"/>
      <c r="F66" s="1"/>
      <c r="G66" s="1"/>
      <c r="H66" s="1"/>
      <c r="I66" s="1"/>
    </row>
    <row r="67" spans="1:9" x14ac:dyDescent="0.25">
      <c r="A67" s="1"/>
      <c r="B67" s="1"/>
      <c r="C67" s="1"/>
      <c r="D67" s="1"/>
      <c r="E67" s="1"/>
      <c r="F67" s="1"/>
      <c r="G67" s="1"/>
      <c r="H67" s="1"/>
      <c r="I67" s="1"/>
    </row>
    <row r="68" spans="1:9" x14ac:dyDescent="0.25">
      <c r="A68" s="1"/>
      <c r="B68" s="1"/>
      <c r="C68" s="1"/>
      <c r="D68" s="1"/>
      <c r="E68" s="1"/>
      <c r="F68" s="1"/>
      <c r="G68" s="1"/>
      <c r="H68" s="1"/>
      <c r="I68" s="1"/>
    </row>
    <row r="69" spans="1:9" x14ac:dyDescent="0.25">
      <c r="A69" s="1"/>
      <c r="B69" s="1"/>
      <c r="C69" s="1"/>
      <c r="D69" s="1"/>
      <c r="E69" s="1"/>
      <c r="F69" s="1"/>
      <c r="G69" s="1"/>
      <c r="H69" s="1"/>
      <c r="I69" s="1"/>
    </row>
    <row r="70" spans="1:9" x14ac:dyDescent="0.25">
      <c r="A70" s="1"/>
      <c r="B70" s="1"/>
      <c r="C70" s="1"/>
      <c r="D70" s="1"/>
      <c r="E70" s="1"/>
      <c r="F70" s="1"/>
      <c r="G70" s="1"/>
      <c r="H70" s="1"/>
      <c r="I70" s="1"/>
    </row>
    <row r="71" spans="1:9" x14ac:dyDescent="0.25">
      <c r="A71" s="1"/>
      <c r="B71" s="1"/>
      <c r="C71" s="1"/>
      <c r="D71" s="1"/>
      <c r="E71" s="1"/>
      <c r="F71" s="1"/>
      <c r="G71" s="1"/>
      <c r="H71" s="1"/>
      <c r="I71" s="1"/>
    </row>
    <row r="72" spans="1:9" x14ac:dyDescent="0.25">
      <c r="A72" s="1"/>
      <c r="B72" s="1"/>
      <c r="C72" s="1"/>
      <c r="D72" s="1"/>
      <c r="E72" s="1"/>
      <c r="F72" s="1"/>
      <c r="G72" s="1"/>
      <c r="H72" s="1"/>
      <c r="I72" s="1"/>
    </row>
    <row r="73" spans="1:9" x14ac:dyDescent="0.25">
      <c r="A73" s="1"/>
      <c r="B73" s="1"/>
      <c r="C73" s="1"/>
      <c r="D73" s="1"/>
      <c r="E73" s="1"/>
      <c r="F73" s="1"/>
      <c r="G73" s="1"/>
      <c r="H73" s="1"/>
      <c r="I73" s="1"/>
    </row>
    <row r="74" spans="1:9" x14ac:dyDescent="0.25">
      <c r="A74" s="1"/>
      <c r="B74" s="1"/>
      <c r="C74" s="1"/>
      <c r="D74" s="1"/>
      <c r="E74" s="1"/>
      <c r="F74" s="1"/>
      <c r="G74" s="1"/>
      <c r="H74" s="1"/>
      <c r="I74" s="1"/>
    </row>
  </sheetData>
  <sheetProtection sheet="1" objects="1" scenarios="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4C759"/>
  </sheetPr>
  <dimension ref="A1:K837"/>
  <sheetViews>
    <sheetView showGridLines="0" topLeftCell="A9" workbookViewId="0">
      <selection activeCell="B20" sqref="B20:E20"/>
    </sheetView>
  </sheetViews>
  <sheetFormatPr baseColWidth="10" defaultColWidth="9.140625" defaultRowHeight="15" x14ac:dyDescent="0.25"/>
  <cols>
    <col min="1" max="1" width="1.85546875" customWidth="1"/>
    <col min="2" max="2" width="33.28515625" customWidth="1"/>
    <col min="3" max="4" width="18.140625" customWidth="1"/>
    <col min="5" max="5" width="18.140625" style="67" customWidth="1"/>
    <col min="6" max="6" width="3" customWidth="1"/>
  </cols>
  <sheetData>
    <row r="1" spans="1:11" ht="32.1" customHeight="1" x14ac:dyDescent="0.25">
      <c r="A1" s="69"/>
      <c r="B1" s="38" t="s">
        <v>21</v>
      </c>
      <c r="C1" s="39"/>
      <c r="D1" s="70"/>
      <c r="E1" s="39"/>
      <c r="F1" s="13"/>
      <c r="G1" s="13"/>
      <c r="H1" s="13"/>
      <c r="I1" s="13"/>
      <c r="J1" s="13"/>
      <c r="K1" s="13"/>
    </row>
    <row r="2" spans="1:11" ht="6" customHeight="1" x14ac:dyDescent="0.25">
      <c r="A2" s="69"/>
      <c r="B2" s="37"/>
      <c r="C2" s="37"/>
      <c r="D2" s="37"/>
      <c r="E2" s="66"/>
      <c r="F2" s="13"/>
      <c r="G2" s="13"/>
      <c r="H2" s="13"/>
      <c r="I2" s="13"/>
      <c r="J2" s="13"/>
      <c r="K2" s="13"/>
    </row>
    <row r="3" spans="1:11" ht="24" customHeight="1" x14ac:dyDescent="0.25">
      <c r="A3" s="69"/>
      <c r="B3" s="40" t="s">
        <v>22</v>
      </c>
      <c r="C3" s="41"/>
      <c r="D3" s="71"/>
      <c r="E3" s="41"/>
      <c r="F3" s="13"/>
      <c r="G3" s="13"/>
      <c r="H3" s="13"/>
      <c r="I3" s="13"/>
      <c r="J3" s="13"/>
      <c r="K3" s="13"/>
    </row>
    <row r="4" spans="1:11" ht="21.95" customHeight="1" x14ac:dyDescent="0.25">
      <c r="A4" s="69"/>
      <c r="B4" s="42" t="s">
        <v>20</v>
      </c>
      <c r="C4" s="42" t="s">
        <v>23</v>
      </c>
      <c r="D4" s="72" t="s">
        <v>24</v>
      </c>
      <c r="E4" s="42" t="s">
        <v>25</v>
      </c>
      <c r="F4" s="13"/>
      <c r="G4" s="13"/>
      <c r="H4" s="13"/>
      <c r="I4" s="13"/>
      <c r="J4" s="13"/>
      <c r="K4" s="13"/>
    </row>
    <row r="5" spans="1:11" ht="20.100000000000001" customHeight="1" x14ac:dyDescent="0.25">
      <c r="A5" s="69"/>
      <c r="B5" s="43" t="s">
        <v>26</v>
      </c>
      <c r="C5" s="63">
        <v>5000</v>
      </c>
      <c r="D5" s="83">
        <v>5000</v>
      </c>
      <c r="E5" s="44">
        <f>IF(AND(C5="",D5=""),"",D5-C5)</f>
        <v>0</v>
      </c>
      <c r="F5" s="13"/>
      <c r="G5" s="13"/>
      <c r="H5" s="13"/>
      <c r="I5" s="13"/>
      <c r="J5" s="13"/>
      <c r="K5" s="13"/>
    </row>
    <row r="6" spans="1:11" ht="20.100000000000001" customHeight="1" x14ac:dyDescent="0.25">
      <c r="A6" s="69"/>
      <c r="B6" s="45" t="s">
        <v>27</v>
      </c>
      <c r="C6" s="63">
        <v>500</v>
      </c>
      <c r="D6" s="83">
        <v>450</v>
      </c>
      <c r="E6" s="46">
        <f>IF(AND(C6="",D6=""),"",D6-C6)</f>
        <v>-50</v>
      </c>
      <c r="F6" s="13"/>
      <c r="G6" s="13"/>
      <c r="H6" s="13"/>
      <c r="I6" s="13"/>
      <c r="J6" s="13"/>
      <c r="K6" s="13"/>
    </row>
    <row r="7" spans="1:11" ht="20.100000000000001" customHeight="1" x14ac:dyDescent="0.25">
      <c r="A7" s="69"/>
      <c r="B7" s="43" t="s">
        <v>28</v>
      </c>
      <c r="C7" s="63">
        <v>300</v>
      </c>
      <c r="D7" s="83">
        <v>375</v>
      </c>
      <c r="E7" s="44">
        <f>IF(AND(C7="",D7=""),"",D7-C7)</f>
        <v>75</v>
      </c>
      <c r="F7" s="13"/>
      <c r="G7" s="13"/>
      <c r="H7" s="13"/>
      <c r="I7" s="13"/>
      <c r="J7" s="13"/>
      <c r="K7" s="13"/>
    </row>
    <row r="8" spans="1:11" ht="20.100000000000001" customHeight="1" x14ac:dyDescent="0.25">
      <c r="A8" s="69"/>
      <c r="B8" s="45" t="s">
        <v>29</v>
      </c>
      <c r="C8" s="63">
        <v>100</v>
      </c>
      <c r="D8" s="83">
        <v>120</v>
      </c>
      <c r="E8" s="46">
        <f>IF(AND(C8="",D8=""),"",D8-C8)</f>
        <v>20</v>
      </c>
      <c r="F8" s="13"/>
      <c r="G8" s="13"/>
      <c r="H8" s="13"/>
      <c r="I8" s="13"/>
      <c r="J8" s="13"/>
      <c r="K8" s="13"/>
    </row>
    <row r="9" spans="1:11" ht="20.100000000000001" customHeight="1" x14ac:dyDescent="0.25">
      <c r="A9" s="69"/>
      <c r="B9" s="43" t="s">
        <v>30</v>
      </c>
      <c r="C9" s="63">
        <v>0</v>
      </c>
      <c r="D9" s="83">
        <v>0</v>
      </c>
      <c r="E9" s="44">
        <f>IF(AND(C9="",D9=""),"",D9-C9)</f>
        <v>0</v>
      </c>
      <c r="F9" s="13"/>
      <c r="G9" s="13"/>
      <c r="H9" s="13"/>
      <c r="I9" s="13"/>
      <c r="J9" s="13"/>
      <c r="K9" s="13"/>
    </row>
    <row r="10" spans="1:11" ht="24" customHeight="1" x14ac:dyDescent="0.25">
      <c r="A10" s="69"/>
      <c r="B10" s="47" t="s">
        <v>31</v>
      </c>
      <c r="C10" s="48">
        <f>SUM(C5:C9)</f>
        <v>5900</v>
      </c>
      <c r="D10" s="73">
        <f>SUM(D5:D9)</f>
        <v>5945</v>
      </c>
      <c r="E10" s="48">
        <f>D10-C10</f>
        <v>45</v>
      </c>
      <c r="F10" s="13"/>
      <c r="G10" s="13"/>
      <c r="H10" s="13"/>
      <c r="I10" s="13"/>
      <c r="J10" s="13"/>
      <c r="K10" s="13"/>
    </row>
    <row r="11" spans="1:11" ht="6" customHeight="1" x14ac:dyDescent="0.25">
      <c r="A11" s="69"/>
      <c r="B11" s="68"/>
      <c r="C11" s="68"/>
      <c r="D11" s="68"/>
      <c r="E11" s="76"/>
      <c r="F11" s="13"/>
      <c r="G11" s="13"/>
      <c r="H11" s="13"/>
      <c r="I11" s="13"/>
      <c r="J11" s="13"/>
      <c r="K11" s="13"/>
    </row>
    <row r="12" spans="1:11" ht="24" customHeight="1" x14ac:dyDescent="0.25">
      <c r="A12" s="69"/>
      <c r="B12" s="49" t="s">
        <v>32</v>
      </c>
      <c r="C12" s="50"/>
      <c r="D12" s="74"/>
      <c r="E12" s="50"/>
      <c r="F12" s="13"/>
      <c r="G12" s="13"/>
      <c r="H12" s="13"/>
      <c r="I12" s="13"/>
      <c r="J12" s="13"/>
      <c r="K12" s="13"/>
    </row>
    <row r="13" spans="1:11" ht="21.95" customHeight="1" x14ac:dyDescent="0.25">
      <c r="A13" s="69"/>
      <c r="B13" s="42" t="s">
        <v>20</v>
      </c>
      <c r="C13" s="42" t="s">
        <v>23</v>
      </c>
      <c r="D13" s="72" t="s">
        <v>24</v>
      </c>
      <c r="E13" s="42" t="s">
        <v>25</v>
      </c>
      <c r="F13" s="13"/>
      <c r="G13" s="13"/>
      <c r="H13" s="13"/>
      <c r="I13" s="13"/>
      <c r="J13" s="13"/>
      <c r="K13" s="13"/>
    </row>
    <row r="14" spans="1:11" ht="20.100000000000001" customHeight="1" x14ac:dyDescent="0.25">
      <c r="A14" s="69"/>
      <c r="B14" s="51" t="s">
        <v>33</v>
      </c>
      <c r="C14" s="52"/>
      <c r="D14" s="75"/>
      <c r="E14" s="52"/>
      <c r="F14" s="13"/>
      <c r="G14" s="13"/>
      <c r="H14" s="13"/>
      <c r="I14" s="13"/>
      <c r="J14" s="13"/>
      <c r="K14" s="13"/>
    </row>
    <row r="15" spans="1:11" ht="20.100000000000001" customHeight="1" x14ac:dyDescent="0.25">
      <c r="A15" s="69"/>
      <c r="B15" s="43" t="s">
        <v>34</v>
      </c>
      <c r="C15" s="63">
        <v>1500</v>
      </c>
      <c r="D15" s="83">
        <v>1500</v>
      </c>
      <c r="E15" s="44">
        <f>IF(AND(C15="",D15=""),"",C15-D15)</f>
        <v>0</v>
      </c>
      <c r="F15" s="13"/>
      <c r="G15" s="13"/>
      <c r="H15" s="13"/>
      <c r="I15" s="13"/>
      <c r="J15" s="13"/>
      <c r="K15" s="13"/>
    </row>
    <row r="16" spans="1:11" ht="20.100000000000001" customHeight="1" x14ac:dyDescent="0.25">
      <c r="A16" s="69"/>
      <c r="B16" s="45" t="s">
        <v>35</v>
      </c>
      <c r="C16" s="63">
        <v>100</v>
      </c>
      <c r="D16" s="83">
        <v>100</v>
      </c>
      <c r="E16" s="46">
        <f>IF(AND(C16="",D16=""),"",C16-D16)</f>
        <v>0</v>
      </c>
      <c r="F16" s="13"/>
      <c r="G16" s="13"/>
      <c r="H16" s="13"/>
      <c r="I16" s="13"/>
      <c r="J16" s="13"/>
      <c r="K16" s="13"/>
    </row>
    <row r="17" spans="1:11" ht="20.100000000000001" customHeight="1" x14ac:dyDescent="0.25">
      <c r="A17" s="69"/>
      <c r="B17" s="43" t="s">
        <v>36</v>
      </c>
      <c r="C17" s="63">
        <v>200</v>
      </c>
      <c r="D17" s="83">
        <v>200</v>
      </c>
      <c r="E17" s="44">
        <f>IF(AND(C17="",D17=""),"",C17-D17)</f>
        <v>0</v>
      </c>
      <c r="F17" s="13"/>
      <c r="G17" s="13"/>
      <c r="H17" s="13"/>
      <c r="I17" s="13"/>
      <c r="J17" s="13"/>
      <c r="K17" s="13"/>
    </row>
    <row r="18" spans="1:11" ht="20.100000000000001" customHeight="1" x14ac:dyDescent="0.25">
      <c r="A18" s="69"/>
      <c r="B18" s="45" t="s">
        <v>37</v>
      </c>
      <c r="C18" s="63">
        <v>50</v>
      </c>
      <c r="D18" s="83">
        <v>50</v>
      </c>
      <c r="E18" s="46">
        <f>IF(AND(C18="",D18=""),"",C18-D18)</f>
        <v>0</v>
      </c>
      <c r="F18" s="13"/>
      <c r="G18" s="13"/>
      <c r="H18" s="13"/>
      <c r="I18" s="13"/>
      <c r="J18" s="13"/>
      <c r="K18" s="13"/>
    </row>
    <row r="19" spans="1:11" ht="20.100000000000001" customHeight="1" x14ac:dyDescent="0.25">
      <c r="A19" s="69"/>
      <c r="B19" s="43" t="s">
        <v>38</v>
      </c>
      <c r="C19" s="63">
        <v>50</v>
      </c>
      <c r="D19" s="83">
        <v>0</v>
      </c>
      <c r="E19" s="44">
        <f>IF(AND(C19="",D19=""),"",C19-D19)</f>
        <v>50</v>
      </c>
      <c r="F19" s="13"/>
      <c r="G19" s="13"/>
      <c r="H19" s="13"/>
      <c r="I19" s="13"/>
      <c r="J19" s="13"/>
      <c r="K19" s="13"/>
    </row>
    <row r="20" spans="1:11" ht="20.100000000000001" customHeight="1" x14ac:dyDescent="0.25">
      <c r="A20" s="69"/>
      <c r="B20" s="51" t="s">
        <v>39</v>
      </c>
      <c r="C20" s="52"/>
      <c r="D20" s="75"/>
      <c r="E20" s="52"/>
      <c r="F20" s="13"/>
      <c r="G20" s="13"/>
      <c r="H20" s="13"/>
      <c r="I20" s="13"/>
      <c r="J20" s="13"/>
      <c r="K20" s="13"/>
    </row>
    <row r="21" spans="1:11" ht="20.100000000000001" customHeight="1" x14ac:dyDescent="0.25">
      <c r="A21" s="69"/>
      <c r="B21" s="43" t="s">
        <v>40</v>
      </c>
      <c r="C21" s="63">
        <v>350</v>
      </c>
      <c r="D21" s="83">
        <v>350</v>
      </c>
      <c r="E21" s="44">
        <f>IF(AND(C21="",D21=""),"",C21-D21)</f>
        <v>0</v>
      </c>
      <c r="F21" s="13"/>
      <c r="G21" s="13"/>
      <c r="H21" s="13"/>
      <c r="I21" s="13"/>
      <c r="J21" s="13"/>
      <c r="K21" s="13"/>
    </row>
    <row r="22" spans="1:11" ht="20.100000000000001" customHeight="1" x14ac:dyDescent="0.25">
      <c r="A22" s="69"/>
      <c r="B22" s="45" t="s">
        <v>41</v>
      </c>
      <c r="C22" s="63">
        <v>150</v>
      </c>
      <c r="D22" s="83">
        <v>165</v>
      </c>
      <c r="E22" s="46">
        <f>IF(AND(C22="",D22=""),"",C22-D22)</f>
        <v>-15</v>
      </c>
      <c r="F22" s="13"/>
      <c r="G22" s="13"/>
      <c r="H22" s="13"/>
      <c r="I22" s="13"/>
      <c r="J22" s="13"/>
      <c r="K22" s="13"/>
    </row>
    <row r="23" spans="1:11" ht="20.100000000000001" customHeight="1" x14ac:dyDescent="0.25">
      <c r="A23" s="69"/>
      <c r="B23" s="43" t="s">
        <v>42</v>
      </c>
      <c r="C23" s="63">
        <v>100</v>
      </c>
      <c r="D23" s="83">
        <v>100</v>
      </c>
      <c r="E23" s="44">
        <f>IF(AND(C23="",D23=""),"",C23-D23)</f>
        <v>0</v>
      </c>
      <c r="F23" s="13"/>
      <c r="G23" s="13"/>
      <c r="H23" s="13"/>
      <c r="I23" s="13"/>
      <c r="J23" s="13"/>
      <c r="K23" s="13"/>
    </row>
    <row r="24" spans="1:11" ht="20.100000000000001" customHeight="1" x14ac:dyDescent="0.25">
      <c r="A24" s="69"/>
      <c r="B24" s="45" t="s">
        <v>43</v>
      </c>
      <c r="C24" s="63">
        <v>50</v>
      </c>
      <c r="D24" s="83">
        <v>0</v>
      </c>
      <c r="E24" s="46">
        <f>IF(AND(C24="",D24=""),"",C24-D24)</f>
        <v>50</v>
      </c>
      <c r="F24" s="13"/>
      <c r="G24" s="13"/>
      <c r="H24" s="13"/>
      <c r="I24" s="13"/>
      <c r="J24" s="13"/>
      <c r="K24" s="13"/>
    </row>
    <row r="25" spans="1:11" ht="20.100000000000001" customHeight="1" x14ac:dyDescent="0.25">
      <c r="A25" s="69"/>
      <c r="B25" s="43" t="s">
        <v>44</v>
      </c>
      <c r="C25" s="63">
        <v>30</v>
      </c>
      <c r="D25" s="83">
        <v>25</v>
      </c>
      <c r="E25" s="44">
        <f>IF(AND(C25="",D25=""),"",C25-D25)</f>
        <v>5</v>
      </c>
      <c r="F25" s="13"/>
      <c r="G25" s="13"/>
      <c r="H25" s="13"/>
      <c r="I25" s="13"/>
      <c r="J25" s="13"/>
      <c r="K25" s="13"/>
    </row>
    <row r="26" spans="1:11" ht="20.100000000000001" customHeight="1" x14ac:dyDescent="0.25">
      <c r="A26" s="69"/>
      <c r="B26" s="51" t="s">
        <v>45</v>
      </c>
      <c r="C26" s="52"/>
      <c r="D26" s="75"/>
      <c r="E26" s="52"/>
      <c r="F26" s="13"/>
      <c r="G26" s="13"/>
      <c r="H26" s="13"/>
      <c r="I26" s="13"/>
      <c r="J26" s="13"/>
      <c r="K26" s="13"/>
    </row>
    <row r="27" spans="1:11" ht="20.100000000000001" customHeight="1" x14ac:dyDescent="0.25">
      <c r="A27" s="69"/>
      <c r="B27" s="43" t="s">
        <v>46</v>
      </c>
      <c r="C27" s="63">
        <v>500</v>
      </c>
      <c r="D27" s="83">
        <v>520</v>
      </c>
      <c r="E27" s="44">
        <f>IF(AND(C27="",D27=""),"",C27-D27)</f>
        <v>-20</v>
      </c>
      <c r="F27" s="13"/>
      <c r="G27" s="13"/>
      <c r="H27" s="13"/>
      <c r="I27" s="13"/>
      <c r="J27" s="13"/>
      <c r="K27" s="13"/>
    </row>
    <row r="28" spans="1:11" ht="20.100000000000001" customHeight="1" x14ac:dyDescent="0.25">
      <c r="A28" s="69"/>
      <c r="B28" s="45" t="s">
        <v>47</v>
      </c>
      <c r="C28" s="63">
        <v>200</v>
      </c>
      <c r="D28" s="83">
        <v>245</v>
      </c>
      <c r="E28" s="46">
        <f>IF(AND(C28="",D28=""),"",C28-D28)</f>
        <v>-45</v>
      </c>
      <c r="F28" s="13"/>
      <c r="G28" s="13"/>
      <c r="H28" s="13"/>
      <c r="I28" s="13"/>
      <c r="J28" s="13"/>
      <c r="K28" s="13"/>
    </row>
    <row r="29" spans="1:11" ht="20.100000000000001" customHeight="1" x14ac:dyDescent="0.25">
      <c r="A29" s="69"/>
      <c r="B29" s="43" t="s">
        <v>48</v>
      </c>
      <c r="C29" s="63">
        <v>50</v>
      </c>
      <c r="D29" s="83">
        <v>65</v>
      </c>
      <c r="E29" s="44">
        <f>IF(AND(C29="",D29=""),"",C29-D29)</f>
        <v>-15</v>
      </c>
      <c r="F29" s="13"/>
      <c r="G29" s="13"/>
      <c r="H29" s="13"/>
      <c r="I29" s="13"/>
      <c r="J29" s="13"/>
      <c r="K29" s="13"/>
    </row>
    <row r="30" spans="1:11" ht="20.100000000000001" customHeight="1" x14ac:dyDescent="0.25">
      <c r="A30" s="69"/>
      <c r="B30" s="51" t="s">
        <v>49</v>
      </c>
      <c r="C30" s="52"/>
      <c r="D30" s="75"/>
      <c r="E30" s="52"/>
      <c r="F30" s="13"/>
      <c r="G30" s="13"/>
      <c r="H30" s="13"/>
      <c r="I30" s="13"/>
      <c r="J30" s="13"/>
      <c r="K30" s="13"/>
    </row>
    <row r="31" spans="1:11" ht="20.100000000000001" customHeight="1" x14ac:dyDescent="0.25">
      <c r="A31" s="69"/>
      <c r="B31" s="43" t="s">
        <v>50</v>
      </c>
      <c r="C31" s="63">
        <v>120</v>
      </c>
      <c r="D31" s="83">
        <v>115</v>
      </c>
      <c r="E31" s="44">
        <f>IF(AND(C31="",D31=""),"",C31-D31)</f>
        <v>5</v>
      </c>
      <c r="F31" s="13"/>
      <c r="G31" s="13"/>
      <c r="H31" s="13"/>
      <c r="I31" s="13"/>
      <c r="J31" s="13"/>
      <c r="K31" s="13"/>
    </row>
    <row r="32" spans="1:11" ht="20.100000000000001" customHeight="1" x14ac:dyDescent="0.25">
      <c r="A32" s="69"/>
      <c r="B32" s="45" t="s">
        <v>51</v>
      </c>
      <c r="C32" s="63">
        <v>80</v>
      </c>
      <c r="D32" s="83">
        <v>95</v>
      </c>
      <c r="E32" s="46">
        <f>IF(AND(C32="",D32=""),"",C32-D32)</f>
        <v>-15</v>
      </c>
      <c r="F32" s="13"/>
      <c r="G32" s="13"/>
      <c r="H32" s="13"/>
      <c r="I32" s="13"/>
      <c r="J32" s="13"/>
      <c r="K32" s="13"/>
    </row>
    <row r="33" spans="1:11" ht="20.100000000000001" customHeight="1" x14ac:dyDescent="0.25">
      <c r="A33" s="69"/>
      <c r="B33" s="43" t="s">
        <v>52</v>
      </c>
      <c r="C33" s="63">
        <v>40</v>
      </c>
      <c r="D33" s="83">
        <v>40</v>
      </c>
      <c r="E33" s="44">
        <f>IF(AND(C33="",D33=""),"",C33-D33)</f>
        <v>0</v>
      </c>
      <c r="F33" s="13"/>
      <c r="G33" s="13"/>
      <c r="H33" s="13"/>
      <c r="I33" s="13"/>
      <c r="J33" s="13"/>
      <c r="K33" s="13"/>
    </row>
    <row r="34" spans="1:11" ht="20.100000000000001" customHeight="1" x14ac:dyDescent="0.25">
      <c r="A34" s="69"/>
      <c r="B34" s="45" t="s">
        <v>53</v>
      </c>
      <c r="C34" s="63">
        <v>60</v>
      </c>
      <c r="D34" s="83">
        <v>60</v>
      </c>
      <c r="E34" s="46">
        <f>IF(AND(C34="",D34=""),"",C34-D34)</f>
        <v>0</v>
      </c>
      <c r="F34" s="13"/>
      <c r="G34" s="13"/>
      <c r="H34" s="13"/>
      <c r="I34" s="13"/>
      <c r="J34" s="13"/>
      <c r="K34" s="13"/>
    </row>
    <row r="35" spans="1:11" ht="20.100000000000001" customHeight="1" x14ac:dyDescent="0.25">
      <c r="A35" s="69"/>
      <c r="B35" s="43" t="s">
        <v>54</v>
      </c>
      <c r="C35" s="63">
        <v>80</v>
      </c>
      <c r="D35" s="83">
        <v>80</v>
      </c>
      <c r="E35" s="44">
        <f>IF(AND(C35="",D35=""),"",C35-D35)</f>
        <v>0</v>
      </c>
      <c r="F35" s="13"/>
      <c r="G35" s="13"/>
      <c r="H35" s="13"/>
      <c r="I35" s="13"/>
      <c r="J35" s="13"/>
      <c r="K35" s="13"/>
    </row>
    <row r="36" spans="1:11" ht="20.100000000000001" customHeight="1" x14ac:dyDescent="0.25">
      <c r="A36" s="69"/>
      <c r="B36" s="51" t="s">
        <v>55</v>
      </c>
      <c r="C36" s="52"/>
      <c r="D36" s="75"/>
      <c r="E36" s="52"/>
      <c r="F36" s="13"/>
      <c r="G36" s="13"/>
      <c r="H36" s="13"/>
      <c r="I36" s="13"/>
      <c r="J36" s="13"/>
      <c r="K36" s="13"/>
    </row>
    <row r="37" spans="1:11" ht="20.100000000000001" customHeight="1" x14ac:dyDescent="0.25">
      <c r="A37" s="69"/>
      <c r="B37" s="43" t="s">
        <v>56</v>
      </c>
      <c r="C37" s="63">
        <v>250</v>
      </c>
      <c r="D37" s="83">
        <v>250</v>
      </c>
      <c r="E37" s="44">
        <f>IF(AND(C37="",D37=""),"",C37-D37)</f>
        <v>0</v>
      </c>
      <c r="F37" s="13"/>
      <c r="G37" s="13"/>
      <c r="H37" s="13"/>
      <c r="I37" s="13"/>
      <c r="J37" s="13"/>
      <c r="K37" s="13"/>
    </row>
    <row r="38" spans="1:11" ht="20.100000000000001" customHeight="1" x14ac:dyDescent="0.25">
      <c r="A38" s="69"/>
      <c r="B38" s="45" t="s">
        <v>57</v>
      </c>
      <c r="C38" s="63">
        <v>30</v>
      </c>
      <c r="D38" s="83">
        <v>30</v>
      </c>
      <c r="E38" s="46">
        <f>IF(AND(C38="",D38=""),"",C38-D38)</f>
        <v>0</v>
      </c>
      <c r="F38" s="13"/>
      <c r="G38" s="13"/>
      <c r="H38" s="13"/>
      <c r="I38" s="13"/>
      <c r="J38" s="13"/>
      <c r="K38" s="13"/>
    </row>
    <row r="39" spans="1:11" ht="20.100000000000001" customHeight="1" x14ac:dyDescent="0.25">
      <c r="A39" s="69"/>
      <c r="B39" s="43" t="s">
        <v>58</v>
      </c>
      <c r="C39" s="63">
        <v>50</v>
      </c>
      <c r="D39" s="83">
        <v>0</v>
      </c>
      <c r="E39" s="44">
        <f>IF(AND(C39="",D39=""),"",C39-D39)</f>
        <v>50</v>
      </c>
      <c r="F39" s="13"/>
      <c r="G39" s="13"/>
      <c r="H39" s="13"/>
      <c r="I39" s="13"/>
      <c r="J39" s="13"/>
      <c r="K39" s="13"/>
    </row>
    <row r="40" spans="1:11" ht="20.100000000000001" customHeight="1" x14ac:dyDescent="0.25">
      <c r="A40" s="69"/>
      <c r="B40" s="45" t="s">
        <v>59</v>
      </c>
      <c r="C40" s="63">
        <v>40</v>
      </c>
      <c r="D40" s="83">
        <v>40</v>
      </c>
      <c r="E40" s="46">
        <f>IF(AND(C40="",D40=""),"",C40-D40)</f>
        <v>0</v>
      </c>
      <c r="F40" s="13"/>
      <c r="G40" s="13"/>
      <c r="H40" s="13"/>
      <c r="I40" s="13"/>
      <c r="J40" s="13"/>
      <c r="K40" s="13"/>
    </row>
    <row r="41" spans="1:11" ht="20.100000000000001" customHeight="1" x14ac:dyDescent="0.25">
      <c r="A41" s="69"/>
      <c r="B41" s="51" t="s">
        <v>60</v>
      </c>
      <c r="C41" s="52"/>
      <c r="D41" s="75"/>
      <c r="E41" s="52"/>
      <c r="F41" s="13"/>
      <c r="G41" s="13"/>
      <c r="H41" s="13"/>
      <c r="I41" s="13"/>
      <c r="J41" s="13"/>
      <c r="K41" s="13"/>
    </row>
    <row r="42" spans="1:11" ht="20.100000000000001" customHeight="1" x14ac:dyDescent="0.25">
      <c r="A42" s="69"/>
      <c r="B42" s="43" t="s">
        <v>61</v>
      </c>
      <c r="C42" s="63">
        <v>200</v>
      </c>
      <c r="D42" s="83">
        <v>200</v>
      </c>
      <c r="E42" s="44">
        <f>IF(AND(C42="",D42=""),"",C42-D42)</f>
        <v>0</v>
      </c>
      <c r="F42" s="13"/>
      <c r="G42" s="13"/>
      <c r="H42" s="13"/>
      <c r="I42" s="13"/>
      <c r="J42" s="13"/>
      <c r="K42" s="13"/>
    </row>
    <row r="43" spans="1:11" ht="20.100000000000001" customHeight="1" x14ac:dyDescent="0.25">
      <c r="A43" s="69"/>
      <c r="B43" s="45" t="s">
        <v>62</v>
      </c>
      <c r="C43" s="63">
        <v>20</v>
      </c>
      <c r="D43" s="83">
        <v>0</v>
      </c>
      <c r="E43" s="46">
        <f>IF(AND(C43="",D43=""),"",C43-D43)</f>
        <v>20</v>
      </c>
      <c r="F43" s="13"/>
      <c r="G43" s="13"/>
      <c r="H43" s="13"/>
      <c r="I43" s="13"/>
      <c r="J43" s="13"/>
      <c r="K43" s="13"/>
    </row>
    <row r="44" spans="1:11" ht="20.100000000000001" customHeight="1" x14ac:dyDescent="0.25">
      <c r="A44" s="69"/>
      <c r="B44" s="43" t="s">
        <v>63</v>
      </c>
      <c r="C44" s="63">
        <v>15</v>
      </c>
      <c r="D44" s="83">
        <v>15</v>
      </c>
      <c r="E44" s="44">
        <f>IF(AND(C44="",D44=""),"",C44-D44)</f>
        <v>0</v>
      </c>
      <c r="F44" s="13"/>
      <c r="G44" s="13"/>
      <c r="H44" s="13"/>
      <c r="I44" s="13"/>
      <c r="J44" s="13"/>
      <c r="K44" s="13"/>
    </row>
    <row r="45" spans="1:11" ht="20.100000000000001" customHeight="1" x14ac:dyDescent="0.25">
      <c r="A45" s="69"/>
      <c r="B45" s="51" t="s">
        <v>64</v>
      </c>
      <c r="C45" s="52"/>
      <c r="D45" s="75"/>
      <c r="E45" s="52"/>
      <c r="F45" s="13"/>
      <c r="G45" s="13"/>
      <c r="H45" s="13"/>
      <c r="I45" s="13"/>
      <c r="J45" s="13"/>
      <c r="K45" s="13"/>
    </row>
    <row r="46" spans="1:11" ht="20.100000000000001" customHeight="1" x14ac:dyDescent="0.25">
      <c r="A46" s="69"/>
      <c r="B46" s="43" t="s">
        <v>65</v>
      </c>
      <c r="C46" s="63">
        <v>100</v>
      </c>
      <c r="D46" s="83">
        <v>75</v>
      </c>
      <c r="E46" s="44">
        <f>IF(AND(C46="",D46=""),"",C46-D46)</f>
        <v>25</v>
      </c>
      <c r="F46" s="13"/>
      <c r="G46" s="13"/>
      <c r="H46" s="13"/>
      <c r="I46" s="13"/>
      <c r="J46" s="13"/>
      <c r="K46" s="13"/>
    </row>
    <row r="47" spans="1:11" ht="20.100000000000001" customHeight="1" x14ac:dyDescent="0.25">
      <c r="A47" s="69"/>
      <c r="B47" s="45" t="s">
        <v>66</v>
      </c>
      <c r="C47" s="63">
        <v>40</v>
      </c>
      <c r="D47" s="83">
        <v>40</v>
      </c>
      <c r="E47" s="46">
        <f>IF(AND(C47="",D47=""),"",C47-D47)</f>
        <v>0</v>
      </c>
      <c r="F47" s="13"/>
      <c r="G47" s="13"/>
      <c r="H47" s="13"/>
      <c r="I47" s="13"/>
      <c r="J47" s="13"/>
      <c r="K47" s="13"/>
    </row>
    <row r="48" spans="1:11" ht="20.100000000000001" customHeight="1" x14ac:dyDescent="0.25">
      <c r="A48" s="69"/>
      <c r="B48" s="43" t="s">
        <v>67</v>
      </c>
      <c r="C48" s="63">
        <v>50</v>
      </c>
      <c r="D48" s="83">
        <v>50</v>
      </c>
      <c r="E48" s="44">
        <f>IF(AND(C48="",D48=""),"",C48-D48)</f>
        <v>0</v>
      </c>
      <c r="F48" s="13"/>
      <c r="G48" s="13"/>
      <c r="H48" s="13"/>
      <c r="I48" s="13"/>
      <c r="J48" s="13"/>
      <c r="K48" s="13"/>
    </row>
    <row r="49" spans="1:11" ht="20.100000000000001" customHeight="1" x14ac:dyDescent="0.25">
      <c r="A49" s="69"/>
      <c r="B49" s="51" t="s">
        <v>68</v>
      </c>
      <c r="C49" s="52"/>
      <c r="D49" s="75"/>
      <c r="E49" s="52"/>
      <c r="F49" s="13"/>
      <c r="G49" s="13"/>
      <c r="H49" s="13"/>
      <c r="I49" s="13"/>
      <c r="J49" s="13"/>
      <c r="K49" s="13"/>
    </row>
    <row r="50" spans="1:11" ht="20.100000000000001" customHeight="1" x14ac:dyDescent="0.25">
      <c r="A50" s="69"/>
      <c r="B50" s="43" t="s">
        <v>69</v>
      </c>
      <c r="C50" s="63">
        <v>30</v>
      </c>
      <c r="D50" s="83">
        <v>30</v>
      </c>
      <c r="E50" s="44">
        <f>IF(AND(C50="",D50=""),"",C50-D50)</f>
        <v>0</v>
      </c>
      <c r="F50" s="13"/>
      <c r="G50" s="13"/>
      <c r="H50" s="13"/>
      <c r="I50" s="13"/>
      <c r="J50" s="13"/>
      <c r="K50" s="13"/>
    </row>
    <row r="51" spans="1:11" ht="20.100000000000001" customHeight="1" x14ac:dyDescent="0.25">
      <c r="A51" s="69"/>
      <c r="B51" s="45" t="s">
        <v>70</v>
      </c>
      <c r="C51" s="63">
        <v>50</v>
      </c>
      <c r="D51" s="83">
        <v>40</v>
      </c>
      <c r="E51" s="46">
        <f>IF(AND(C51="",D51=""),"",C51-D51)</f>
        <v>10</v>
      </c>
      <c r="F51" s="13"/>
      <c r="G51" s="13"/>
      <c r="H51" s="13"/>
      <c r="I51" s="13"/>
      <c r="J51" s="13"/>
      <c r="K51" s="13"/>
    </row>
    <row r="52" spans="1:11" ht="20.100000000000001" customHeight="1" x14ac:dyDescent="0.25">
      <c r="A52" s="69"/>
      <c r="B52" s="43" t="s">
        <v>71</v>
      </c>
      <c r="C52" s="63">
        <v>75</v>
      </c>
      <c r="D52" s="83">
        <v>60</v>
      </c>
      <c r="E52" s="44">
        <f>IF(AND(C52="",D52=""),"",C52-D52)</f>
        <v>15</v>
      </c>
      <c r="F52" s="13"/>
      <c r="G52" s="13"/>
      <c r="H52" s="13"/>
      <c r="I52" s="13"/>
      <c r="J52" s="13"/>
      <c r="K52" s="13"/>
    </row>
    <row r="53" spans="1:11" ht="20.100000000000001" customHeight="1" x14ac:dyDescent="0.25">
      <c r="A53" s="69"/>
      <c r="B53" s="51" t="s">
        <v>72</v>
      </c>
      <c r="C53" s="52"/>
      <c r="D53" s="75"/>
      <c r="E53" s="52"/>
      <c r="F53" s="13"/>
      <c r="G53" s="13"/>
      <c r="H53" s="13"/>
      <c r="I53" s="13"/>
      <c r="J53" s="13"/>
      <c r="K53" s="13"/>
    </row>
    <row r="54" spans="1:11" ht="20.100000000000001" customHeight="1" x14ac:dyDescent="0.25">
      <c r="A54" s="69"/>
      <c r="B54" s="43" t="s">
        <v>73</v>
      </c>
      <c r="C54" s="63">
        <v>200</v>
      </c>
      <c r="D54" s="83">
        <v>200</v>
      </c>
      <c r="E54" s="44">
        <f>IF(AND(C54="",D54=""),"",C54-D54)</f>
        <v>0</v>
      </c>
      <c r="F54" s="13"/>
      <c r="G54" s="13"/>
      <c r="H54" s="13"/>
      <c r="I54" s="13"/>
      <c r="J54" s="13"/>
      <c r="K54" s="13"/>
    </row>
    <row r="55" spans="1:11" ht="20.100000000000001" customHeight="1" x14ac:dyDescent="0.25">
      <c r="A55" s="69"/>
      <c r="B55" s="45" t="s">
        <v>74</v>
      </c>
      <c r="C55" s="63">
        <v>300</v>
      </c>
      <c r="D55" s="83">
        <v>300</v>
      </c>
      <c r="E55" s="46">
        <f>IF(AND(C55="",D55=""),"",C55-D55)</f>
        <v>0</v>
      </c>
      <c r="F55" s="13"/>
      <c r="G55" s="13"/>
      <c r="H55" s="13"/>
      <c r="I55" s="13"/>
      <c r="J55" s="13"/>
      <c r="K55" s="13"/>
    </row>
    <row r="56" spans="1:11" ht="20.100000000000001" customHeight="1" x14ac:dyDescent="0.25">
      <c r="A56" s="69"/>
      <c r="B56" s="43" t="s">
        <v>75</v>
      </c>
      <c r="C56" s="63">
        <v>150</v>
      </c>
      <c r="D56" s="83">
        <v>150</v>
      </c>
      <c r="E56" s="44">
        <f>IF(AND(C56="",D56=""),"",C56-D56)</f>
        <v>0</v>
      </c>
      <c r="F56" s="13"/>
      <c r="G56" s="13"/>
      <c r="H56" s="13"/>
      <c r="I56" s="13"/>
      <c r="J56" s="13"/>
      <c r="K56" s="13"/>
    </row>
    <row r="57" spans="1:11" ht="20.100000000000001" customHeight="1" x14ac:dyDescent="0.25">
      <c r="A57" s="69"/>
      <c r="B57" s="51" t="s">
        <v>76</v>
      </c>
      <c r="C57" s="52"/>
      <c r="D57" s="75"/>
      <c r="E57" s="52"/>
      <c r="F57" s="13"/>
      <c r="G57" s="13"/>
      <c r="H57" s="13"/>
      <c r="I57" s="13"/>
      <c r="J57" s="13"/>
      <c r="K57" s="13"/>
    </row>
    <row r="58" spans="1:11" ht="20.100000000000001" customHeight="1" x14ac:dyDescent="0.25">
      <c r="A58" s="69"/>
      <c r="B58" s="43" t="s">
        <v>77</v>
      </c>
      <c r="C58" s="63">
        <v>50</v>
      </c>
      <c r="D58" s="83">
        <v>30</v>
      </c>
      <c r="E58" s="44">
        <f>IF(AND(C58="",D58=""),"",C58-D58)</f>
        <v>20</v>
      </c>
      <c r="F58" s="13"/>
      <c r="G58" s="13"/>
      <c r="H58" s="13"/>
      <c r="I58" s="13"/>
      <c r="J58" s="13"/>
      <c r="K58" s="13"/>
    </row>
    <row r="59" spans="1:11" ht="20.100000000000001" customHeight="1" x14ac:dyDescent="0.25">
      <c r="A59" s="69"/>
      <c r="B59" s="45" t="s">
        <v>78</v>
      </c>
      <c r="C59" s="63">
        <v>50</v>
      </c>
      <c r="D59" s="83">
        <v>50</v>
      </c>
      <c r="E59" s="46">
        <f>IF(AND(C59="",D59=""),"",C59-D59)</f>
        <v>0</v>
      </c>
      <c r="F59" s="13"/>
      <c r="G59" s="13"/>
      <c r="H59" s="13"/>
      <c r="I59" s="13"/>
      <c r="J59" s="13"/>
      <c r="K59" s="13"/>
    </row>
    <row r="60" spans="1:11" ht="20.100000000000001" customHeight="1" x14ac:dyDescent="0.25">
      <c r="A60" s="69"/>
      <c r="B60" s="43" t="s">
        <v>79</v>
      </c>
      <c r="C60" s="63">
        <v>50</v>
      </c>
      <c r="D60" s="83">
        <v>35</v>
      </c>
      <c r="E60" s="65">
        <f>IF(AND(C60="",D60=""),"",C60-D60)</f>
        <v>15</v>
      </c>
      <c r="F60" s="13"/>
      <c r="G60" s="13"/>
      <c r="H60" s="13"/>
      <c r="I60" s="13"/>
      <c r="J60" s="13"/>
      <c r="K60" s="13"/>
    </row>
    <row r="61" spans="1:11" ht="24" customHeight="1" x14ac:dyDescent="0.25">
      <c r="A61" s="69"/>
      <c r="B61" s="53" t="s">
        <v>80</v>
      </c>
      <c r="C61" s="54">
        <f>C15+C16+C17+C18+C19+C21+C22+C23+C24+C25+C27+C28+C29+C31+C32+C33+C34+C35+C37+C38+C39+C40+C42+C43+C44+C46+C47+C48+C50+C51+C52+C54+C55+C56+C58+C59+C60</f>
        <v>5460</v>
      </c>
      <c r="D61" s="64">
        <f>D15+D16+D17+D18+D19+D21+D22+D23+D24+D25+D27+D28+D29+D31+D32+D33+D34+D35+D37+D38+D39+D40+D42+D43+D44+D46+D47+D48+D50+D51+D52+D54+D55+D56+D58+D59+D60</f>
        <v>5305</v>
      </c>
      <c r="E61" s="103">
        <f>C61-D61</f>
        <v>155</v>
      </c>
      <c r="F61" s="13"/>
      <c r="G61" s="13"/>
      <c r="H61" s="13"/>
      <c r="I61" s="13"/>
      <c r="J61" s="13"/>
      <c r="K61" s="13"/>
    </row>
    <row r="62" spans="1:11" ht="6" customHeight="1" x14ac:dyDescent="0.25">
      <c r="A62" s="69"/>
      <c r="B62" s="68"/>
      <c r="C62" s="68"/>
      <c r="D62" s="68"/>
      <c r="E62" s="76"/>
      <c r="F62" s="13"/>
      <c r="G62" s="13"/>
      <c r="H62" s="13"/>
      <c r="I62" s="13"/>
      <c r="J62" s="13"/>
      <c r="K62" s="13"/>
    </row>
    <row r="63" spans="1:11" ht="24" customHeight="1" x14ac:dyDescent="0.25">
      <c r="A63" s="69"/>
      <c r="B63" s="55" t="s">
        <v>81</v>
      </c>
      <c r="C63" s="39"/>
      <c r="D63" s="70"/>
      <c r="E63" s="39"/>
      <c r="F63" s="13"/>
      <c r="G63" s="13"/>
      <c r="H63" s="13"/>
      <c r="I63" s="13"/>
      <c r="J63" s="13"/>
      <c r="K63" s="13"/>
    </row>
    <row r="64" spans="1:11" ht="21.95" customHeight="1" x14ac:dyDescent="0.25">
      <c r="A64" s="69"/>
      <c r="B64" s="56" t="s">
        <v>82</v>
      </c>
      <c r="C64" s="57">
        <f>C10</f>
        <v>5900</v>
      </c>
      <c r="D64" s="84">
        <f>D10</f>
        <v>5945</v>
      </c>
      <c r="E64" s="58"/>
      <c r="F64" s="13"/>
      <c r="G64" s="13"/>
      <c r="H64" s="13"/>
      <c r="I64" s="13"/>
      <c r="J64" s="13"/>
      <c r="K64" s="13"/>
    </row>
    <row r="65" spans="1:11" ht="21.95" customHeight="1" x14ac:dyDescent="0.25">
      <c r="A65" s="69"/>
      <c r="B65" s="56" t="s">
        <v>83</v>
      </c>
      <c r="C65" s="57">
        <f>C61</f>
        <v>5460</v>
      </c>
      <c r="D65" s="84">
        <f>D61</f>
        <v>5305</v>
      </c>
      <c r="E65" s="58"/>
      <c r="F65" s="13"/>
      <c r="G65" s="13"/>
      <c r="H65" s="13"/>
      <c r="I65" s="13"/>
      <c r="J65" s="13"/>
      <c r="K65" s="13"/>
    </row>
    <row r="66" spans="1:11" ht="21.95" customHeight="1" x14ac:dyDescent="0.25">
      <c r="A66" s="69"/>
      <c r="B66" s="59" t="s">
        <v>84</v>
      </c>
      <c r="C66" s="60">
        <f>C64-C65</f>
        <v>440</v>
      </c>
      <c r="D66" s="85">
        <f>D10-D61</f>
        <v>640</v>
      </c>
      <c r="E66" s="61"/>
      <c r="F66" s="13"/>
      <c r="G66" s="13"/>
      <c r="H66" s="13"/>
      <c r="I66" s="13"/>
      <c r="J66" s="13"/>
      <c r="K66" s="13"/>
    </row>
    <row r="67" spans="1:11" ht="21.95" customHeight="1" x14ac:dyDescent="0.25">
      <c r="A67" s="69"/>
      <c r="B67" s="78" t="s">
        <v>5</v>
      </c>
      <c r="C67" s="79">
        <f>IF(C64=0,"",1-C65/C64)</f>
        <v>7.4576271186440724E-2</v>
      </c>
      <c r="D67" s="86">
        <f>IF(D10=0,"",1-D61/D10)</f>
        <v>0.10765349032800675</v>
      </c>
      <c r="E67" s="87"/>
      <c r="F67" s="13"/>
      <c r="G67" s="13"/>
      <c r="H67" s="13"/>
      <c r="I67" s="13"/>
      <c r="J67" s="13"/>
      <c r="K67" s="13"/>
    </row>
    <row r="68" spans="1:11" ht="6" customHeight="1" x14ac:dyDescent="0.25">
      <c r="A68" s="69"/>
      <c r="B68" s="69"/>
      <c r="C68" s="69"/>
      <c r="D68" s="69"/>
      <c r="E68" s="77"/>
      <c r="F68" s="13"/>
      <c r="G68" s="13"/>
      <c r="H68" s="13"/>
      <c r="I68" s="13"/>
      <c r="J68" s="13"/>
      <c r="K68" s="13"/>
    </row>
    <row r="69" spans="1:11" ht="6" customHeight="1" x14ac:dyDescent="0.25">
      <c r="A69" s="69"/>
      <c r="B69" s="69"/>
      <c r="C69" s="69"/>
      <c r="D69" s="69"/>
      <c r="E69" s="77"/>
      <c r="F69" s="13"/>
      <c r="G69" s="13"/>
      <c r="H69" s="13"/>
      <c r="I69" s="13"/>
      <c r="J69" s="13"/>
      <c r="K69" s="13"/>
    </row>
    <row r="70" spans="1:11" ht="6" customHeight="1" x14ac:dyDescent="0.25">
      <c r="A70" s="69"/>
      <c r="B70" s="69"/>
      <c r="C70" s="69"/>
      <c r="D70" s="69"/>
      <c r="E70" s="77"/>
      <c r="F70" s="13"/>
      <c r="G70" s="13"/>
      <c r="H70" s="13"/>
      <c r="I70" s="13"/>
      <c r="J70" s="13"/>
      <c r="K70" s="13"/>
    </row>
    <row r="71" spans="1:11" ht="32.1" customHeight="1" x14ac:dyDescent="0.25">
      <c r="A71" s="69"/>
      <c r="B71" s="80" t="s">
        <v>85</v>
      </c>
      <c r="C71" s="81"/>
      <c r="D71" s="82"/>
      <c r="E71" s="81"/>
      <c r="F71" s="13"/>
      <c r="G71" s="13"/>
      <c r="H71" s="13"/>
      <c r="I71" s="13"/>
      <c r="J71" s="13"/>
      <c r="K71" s="13"/>
    </row>
    <row r="72" spans="1:11" ht="6" customHeight="1" x14ac:dyDescent="0.25">
      <c r="A72" s="69"/>
      <c r="B72" s="37"/>
      <c r="C72" s="37"/>
      <c r="D72" s="37"/>
      <c r="E72" s="66"/>
      <c r="F72" s="13"/>
      <c r="G72" s="13"/>
      <c r="H72" s="13"/>
      <c r="I72" s="13"/>
      <c r="J72" s="13"/>
      <c r="K72" s="13"/>
    </row>
    <row r="73" spans="1:11" ht="24" customHeight="1" x14ac:dyDescent="0.25">
      <c r="A73" s="69"/>
      <c r="B73" s="40" t="s">
        <v>22</v>
      </c>
      <c r="C73" s="41"/>
      <c r="D73" s="71"/>
      <c r="E73" s="41"/>
      <c r="F73" s="13"/>
      <c r="G73" s="13"/>
      <c r="H73" s="13"/>
      <c r="I73" s="13"/>
      <c r="J73" s="13"/>
      <c r="K73" s="13"/>
    </row>
    <row r="74" spans="1:11" ht="21.95" customHeight="1" x14ac:dyDescent="0.25">
      <c r="A74" s="69"/>
      <c r="B74" s="42" t="s">
        <v>20</v>
      </c>
      <c r="C74" s="42" t="s">
        <v>23</v>
      </c>
      <c r="D74" s="72" t="s">
        <v>24</v>
      </c>
      <c r="E74" s="42" t="s">
        <v>25</v>
      </c>
      <c r="F74" s="13"/>
      <c r="G74" s="13"/>
      <c r="H74" s="13"/>
      <c r="I74" s="13"/>
      <c r="J74" s="13"/>
      <c r="K74" s="13"/>
    </row>
    <row r="75" spans="1:11" ht="20.100000000000001" customHeight="1" x14ac:dyDescent="0.25">
      <c r="A75" s="69"/>
      <c r="B75" s="43" t="s">
        <v>26</v>
      </c>
      <c r="C75" s="63"/>
      <c r="D75" s="83">
        <v>5200</v>
      </c>
      <c r="E75" s="44">
        <f>IF(AND(C75="",D75=""),"",D75-C75)</f>
        <v>5200</v>
      </c>
      <c r="F75" s="13"/>
      <c r="G75" s="13"/>
      <c r="H75" s="13"/>
      <c r="I75" s="13"/>
      <c r="J75" s="13"/>
      <c r="K75" s="13"/>
    </row>
    <row r="76" spans="1:11" ht="20.100000000000001" customHeight="1" x14ac:dyDescent="0.25">
      <c r="A76" s="69"/>
      <c r="B76" s="45" t="s">
        <v>27</v>
      </c>
      <c r="C76" s="63"/>
      <c r="D76" s="83">
        <v>400</v>
      </c>
      <c r="E76" s="46">
        <f>IF(AND(C76="",D76=""),"",D76-C76)</f>
        <v>400</v>
      </c>
      <c r="F76" s="13"/>
      <c r="G76" s="13"/>
      <c r="H76" s="13"/>
      <c r="I76" s="13"/>
      <c r="J76" s="13"/>
      <c r="K76" s="13"/>
    </row>
    <row r="77" spans="1:11" ht="20.100000000000001" customHeight="1" x14ac:dyDescent="0.25">
      <c r="A77" s="69"/>
      <c r="B77" s="43" t="s">
        <v>28</v>
      </c>
      <c r="C77" s="63"/>
      <c r="D77" s="83">
        <v>350</v>
      </c>
      <c r="E77" s="44">
        <f>IF(AND(C77="",D77=""),"",D77-C77)</f>
        <v>350</v>
      </c>
      <c r="F77" s="13"/>
      <c r="G77" s="13"/>
      <c r="H77" s="13"/>
      <c r="I77" s="13"/>
      <c r="J77" s="13"/>
      <c r="K77" s="13"/>
    </row>
    <row r="78" spans="1:11" ht="20.100000000000001" customHeight="1" x14ac:dyDescent="0.25">
      <c r="A78" s="69"/>
      <c r="B78" s="45" t="s">
        <v>29</v>
      </c>
      <c r="C78" s="63"/>
      <c r="D78" s="83">
        <v>130</v>
      </c>
      <c r="E78" s="46">
        <f>IF(AND(C78="",D78=""),"",D78-C78)</f>
        <v>130</v>
      </c>
      <c r="F78" s="13"/>
      <c r="G78" s="13"/>
      <c r="H78" s="13"/>
      <c r="I78" s="13"/>
      <c r="J78" s="13"/>
      <c r="K78" s="13"/>
    </row>
    <row r="79" spans="1:11" ht="20.100000000000001" customHeight="1" x14ac:dyDescent="0.25">
      <c r="A79" s="69"/>
      <c r="B79" s="43" t="s">
        <v>30</v>
      </c>
      <c r="C79" s="63"/>
      <c r="D79" s="83">
        <v>0</v>
      </c>
      <c r="E79" s="44">
        <f>IF(AND(C79="",D79=""),"",D79-C79)</f>
        <v>0</v>
      </c>
      <c r="F79" s="13"/>
      <c r="G79" s="13"/>
      <c r="H79" s="13"/>
      <c r="I79" s="13"/>
      <c r="J79" s="13"/>
      <c r="K79" s="13"/>
    </row>
    <row r="80" spans="1:11" ht="24" customHeight="1" x14ac:dyDescent="0.25">
      <c r="A80" s="69"/>
      <c r="B80" s="47" t="s">
        <v>31</v>
      </c>
      <c r="C80" s="48">
        <f>SUM(C75:C79)</f>
        <v>0</v>
      </c>
      <c r="D80" s="73">
        <f>SUM(D75:D79)</f>
        <v>6080</v>
      </c>
      <c r="E80" s="48">
        <f>D80-C80</f>
        <v>6080</v>
      </c>
      <c r="F80" s="13"/>
      <c r="G80" s="13"/>
      <c r="H80" s="13"/>
      <c r="I80" s="13"/>
      <c r="J80" s="13"/>
      <c r="K80" s="13"/>
    </row>
    <row r="81" spans="1:11" ht="6" customHeight="1" x14ac:dyDescent="0.25">
      <c r="A81" s="69"/>
      <c r="B81" s="68"/>
      <c r="C81" s="68"/>
      <c r="D81" s="68"/>
      <c r="E81" s="76"/>
      <c r="F81" s="13"/>
      <c r="G81" s="13"/>
      <c r="H81" s="13"/>
      <c r="I81" s="13"/>
      <c r="J81" s="13"/>
      <c r="K81" s="13"/>
    </row>
    <row r="82" spans="1:11" ht="24" customHeight="1" x14ac:dyDescent="0.25">
      <c r="A82" s="69"/>
      <c r="B82" s="49" t="s">
        <v>32</v>
      </c>
      <c r="C82" s="50"/>
      <c r="D82" s="74"/>
      <c r="E82" s="50"/>
      <c r="F82" s="13"/>
      <c r="G82" s="13"/>
      <c r="H82" s="13"/>
      <c r="I82" s="13"/>
      <c r="J82" s="13"/>
      <c r="K82" s="13"/>
    </row>
    <row r="83" spans="1:11" ht="21.95" customHeight="1" x14ac:dyDescent="0.25">
      <c r="A83" s="69"/>
      <c r="B83" s="42" t="s">
        <v>20</v>
      </c>
      <c r="C83" s="42" t="s">
        <v>23</v>
      </c>
      <c r="D83" s="72" t="s">
        <v>24</v>
      </c>
      <c r="E83" s="42" t="s">
        <v>25</v>
      </c>
      <c r="F83" s="13"/>
      <c r="G83" s="13"/>
      <c r="H83" s="13"/>
      <c r="I83" s="13"/>
      <c r="J83" s="13"/>
      <c r="K83" s="13"/>
    </row>
    <row r="84" spans="1:11" ht="20.100000000000001" customHeight="1" x14ac:dyDescent="0.25">
      <c r="A84" s="69"/>
      <c r="B84" s="51" t="s">
        <v>33</v>
      </c>
      <c r="C84" s="52"/>
      <c r="D84" s="75"/>
      <c r="E84" s="52"/>
      <c r="F84" s="13"/>
      <c r="G84" s="13"/>
      <c r="H84" s="13"/>
      <c r="I84" s="13"/>
      <c r="J84" s="13"/>
      <c r="K84" s="13"/>
    </row>
    <row r="85" spans="1:11" ht="20.100000000000001" customHeight="1" x14ac:dyDescent="0.25">
      <c r="A85" s="69"/>
      <c r="B85" s="43" t="s">
        <v>34</v>
      </c>
      <c r="C85" s="63"/>
      <c r="D85" s="83">
        <v>1500</v>
      </c>
      <c r="E85" s="44">
        <f>IF(AND(C85="",D85=""),"",C85-D85)</f>
        <v>-1500</v>
      </c>
      <c r="F85" s="13"/>
      <c r="G85" s="13"/>
      <c r="H85" s="13"/>
      <c r="I85" s="13"/>
      <c r="J85" s="13"/>
      <c r="K85" s="13"/>
    </row>
    <row r="86" spans="1:11" ht="20.100000000000001" customHeight="1" x14ac:dyDescent="0.25">
      <c r="A86" s="69"/>
      <c r="B86" s="45" t="s">
        <v>35</v>
      </c>
      <c r="C86" s="63"/>
      <c r="D86" s="83">
        <v>100</v>
      </c>
      <c r="E86" s="46">
        <f>IF(AND(C86="",D86=""),"",C86-D86)</f>
        <v>-100</v>
      </c>
      <c r="F86" s="13"/>
      <c r="G86" s="13"/>
      <c r="H86" s="13"/>
      <c r="I86" s="13"/>
      <c r="J86" s="13"/>
      <c r="K86" s="13"/>
    </row>
    <row r="87" spans="1:11" ht="20.100000000000001" customHeight="1" x14ac:dyDescent="0.25">
      <c r="A87" s="69"/>
      <c r="B87" s="43" t="s">
        <v>36</v>
      </c>
      <c r="C87" s="63"/>
      <c r="D87" s="83">
        <v>200</v>
      </c>
      <c r="E87" s="44">
        <f>IF(AND(C87="",D87=""),"",C87-D87)</f>
        <v>-200</v>
      </c>
      <c r="F87" s="13"/>
      <c r="G87" s="13"/>
      <c r="H87" s="13"/>
      <c r="I87" s="13"/>
      <c r="J87" s="13"/>
      <c r="K87" s="13"/>
    </row>
    <row r="88" spans="1:11" ht="20.100000000000001" customHeight="1" x14ac:dyDescent="0.25">
      <c r="A88" s="69"/>
      <c r="B88" s="45" t="s">
        <v>37</v>
      </c>
      <c r="C88" s="63"/>
      <c r="D88" s="83">
        <v>50</v>
      </c>
      <c r="E88" s="46">
        <f>IF(AND(C88="",D88=""),"",C88-D88)</f>
        <v>-50</v>
      </c>
      <c r="F88" s="13"/>
      <c r="G88" s="13"/>
      <c r="H88" s="13"/>
      <c r="I88" s="13"/>
      <c r="J88" s="13"/>
      <c r="K88" s="13"/>
    </row>
    <row r="89" spans="1:11" ht="20.100000000000001" customHeight="1" x14ac:dyDescent="0.25">
      <c r="A89" s="69"/>
      <c r="B89" s="43" t="s">
        <v>38</v>
      </c>
      <c r="C89" s="63"/>
      <c r="D89" s="83">
        <v>75</v>
      </c>
      <c r="E89" s="44">
        <f>IF(AND(C89="",D89=""),"",C89-D89)</f>
        <v>-75</v>
      </c>
      <c r="F89" s="13"/>
      <c r="G89" s="13"/>
      <c r="H89" s="13"/>
      <c r="I89" s="13"/>
      <c r="J89" s="13"/>
      <c r="K89" s="13"/>
    </row>
    <row r="90" spans="1:11" ht="20.100000000000001" customHeight="1" x14ac:dyDescent="0.25">
      <c r="A90" s="69"/>
      <c r="B90" s="51" t="s">
        <v>39</v>
      </c>
      <c r="C90" s="52"/>
      <c r="D90" s="75"/>
      <c r="E90" s="52"/>
      <c r="F90" s="13"/>
      <c r="G90" s="13"/>
      <c r="H90" s="13"/>
      <c r="I90" s="13"/>
      <c r="J90" s="13"/>
      <c r="K90" s="13"/>
    </row>
    <row r="91" spans="1:11" ht="20.100000000000001" customHeight="1" x14ac:dyDescent="0.25">
      <c r="A91" s="69"/>
      <c r="B91" s="43" t="s">
        <v>40</v>
      </c>
      <c r="C91" s="63"/>
      <c r="D91" s="83">
        <v>350</v>
      </c>
      <c r="E91" s="44">
        <f>IF(AND(C91="",D91=""),"",C91-D91)</f>
        <v>-350</v>
      </c>
      <c r="F91" s="13"/>
      <c r="G91" s="13"/>
      <c r="H91" s="13"/>
      <c r="I91" s="13"/>
      <c r="J91" s="13"/>
      <c r="K91" s="13"/>
    </row>
    <row r="92" spans="1:11" ht="20.100000000000001" customHeight="1" x14ac:dyDescent="0.25">
      <c r="A92" s="69"/>
      <c r="B92" s="45" t="s">
        <v>41</v>
      </c>
      <c r="C92" s="63"/>
      <c r="D92" s="83">
        <v>155</v>
      </c>
      <c r="E92" s="46">
        <f>IF(AND(C92="",D92=""),"",C92-D92)</f>
        <v>-155</v>
      </c>
      <c r="F92" s="13"/>
      <c r="G92" s="13"/>
      <c r="H92" s="13"/>
      <c r="I92" s="13"/>
      <c r="J92" s="13"/>
      <c r="K92" s="13"/>
    </row>
    <row r="93" spans="1:11" ht="20.100000000000001" customHeight="1" x14ac:dyDescent="0.25">
      <c r="A93" s="69"/>
      <c r="B93" s="43" t="s">
        <v>42</v>
      </c>
      <c r="C93" s="63"/>
      <c r="D93" s="83">
        <v>100</v>
      </c>
      <c r="E93" s="44">
        <f>IF(AND(C93="",D93=""),"",C93-D93)</f>
        <v>-100</v>
      </c>
      <c r="F93" s="13"/>
      <c r="G93" s="13"/>
      <c r="H93" s="13"/>
      <c r="I93" s="13"/>
      <c r="J93" s="13"/>
      <c r="K93" s="13"/>
    </row>
    <row r="94" spans="1:11" ht="20.100000000000001" customHeight="1" x14ac:dyDescent="0.25">
      <c r="A94" s="69"/>
      <c r="B94" s="45" t="s">
        <v>43</v>
      </c>
      <c r="C94" s="63"/>
      <c r="D94" s="83">
        <v>45</v>
      </c>
      <c r="E94" s="46">
        <f>IF(AND(C94="",D94=""),"",C94-D94)</f>
        <v>-45</v>
      </c>
      <c r="F94" s="13"/>
      <c r="G94" s="13"/>
      <c r="H94" s="13"/>
      <c r="I94" s="13"/>
      <c r="J94" s="13"/>
      <c r="K94" s="13"/>
    </row>
    <row r="95" spans="1:11" ht="20.100000000000001" customHeight="1" x14ac:dyDescent="0.25">
      <c r="A95" s="69"/>
      <c r="B95" s="43" t="s">
        <v>44</v>
      </c>
      <c r="C95" s="63"/>
      <c r="D95" s="83">
        <v>30</v>
      </c>
      <c r="E95" s="44">
        <f>IF(AND(C95="",D95=""),"",C95-D95)</f>
        <v>-30</v>
      </c>
      <c r="F95" s="13"/>
      <c r="G95" s="13"/>
      <c r="H95" s="13"/>
      <c r="I95" s="13"/>
      <c r="J95" s="13"/>
      <c r="K95" s="13"/>
    </row>
    <row r="96" spans="1:11" ht="20.100000000000001" customHeight="1" x14ac:dyDescent="0.25">
      <c r="A96" s="69"/>
      <c r="B96" s="51" t="s">
        <v>45</v>
      </c>
      <c r="C96" s="52"/>
      <c r="D96" s="75"/>
      <c r="E96" s="52"/>
      <c r="F96" s="13"/>
      <c r="G96" s="13"/>
      <c r="H96" s="13"/>
      <c r="I96" s="13"/>
      <c r="J96" s="13"/>
      <c r="K96" s="13"/>
    </row>
    <row r="97" spans="1:11" ht="20.100000000000001" customHeight="1" x14ac:dyDescent="0.25">
      <c r="A97" s="69"/>
      <c r="B97" s="43" t="s">
        <v>46</v>
      </c>
      <c r="C97" s="63"/>
      <c r="D97" s="83">
        <v>480</v>
      </c>
      <c r="E97" s="44">
        <f>IF(AND(C97="",D97=""),"",C97-D97)</f>
        <v>-480</v>
      </c>
      <c r="F97" s="13"/>
      <c r="G97" s="13"/>
      <c r="H97" s="13"/>
      <c r="I97" s="13"/>
      <c r="J97" s="13"/>
      <c r="K97" s="13"/>
    </row>
    <row r="98" spans="1:11" ht="20.100000000000001" customHeight="1" x14ac:dyDescent="0.25">
      <c r="A98" s="69"/>
      <c r="B98" s="45" t="s">
        <v>47</v>
      </c>
      <c r="C98" s="63"/>
      <c r="D98" s="83">
        <v>210</v>
      </c>
      <c r="E98" s="46">
        <f>IF(AND(C98="",D98=""),"",C98-D98)</f>
        <v>-210</v>
      </c>
      <c r="F98" s="13"/>
      <c r="G98" s="13"/>
      <c r="H98" s="13"/>
      <c r="I98" s="13"/>
      <c r="J98" s="13"/>
      <c r="K98" s="13"/>
    </row>
    <row r="99" spans="1:11" ht="20.100000000000001" customHeight="1" x14ac:dyDescent="0.25">
      <c r="A99" s="69"/>
      <c r="B99" s="43" t="s">
        <v>48</v>
      </c>
      <c r="C99" s="63"/>
      <c r="D99" s="83">
        <v>55</v>
      </c>
      <c r="E99" s="44">
        <f>IF(AND(C99="",D99=""),"",C99-D99)</f>
        <v>-55</v>
      </c>
      <c r="F99" s="13"/>
      <c r="G99" s="13"/>
      <c r="H99" s="13"/>
      <c r="I99" s="13"/>
      <c r="J99" s="13"/>
      <c r="K99" s="13"/>
    </row>
    <row r="100" spans="1:11" ht="20.100000000000001" customHeight="1" x14ac:dyDescent="0.25">
      <c r="A100" s="69"/>
      <c r="B100" s="51" t="s">
        <v>49</v>
      </c>
      <c r="C100" s="52"/>
      <c r="D100" s="75"/>
      <c r="E100" s="52"/>
      <c r="F100" s="13"/>
      <c r="G100" s="13"/>
      <c r="H100" s="13"/>
      <c r="I100" s="13"/>
      <c r="J100" s="13"/>
      <c r="K100" s="13"/>
    </row>
    <row r="101" spans="1:11" ht="20.100000000000001" customHeight="1" x14ac:dyDescent="0.25">
      <c r="A101" s="69"/>
      <c r="B101" s="43" t="s">
        <v>50</v>
      </c>
      <c r="C101" s="63"/>
      <c r="D101" s="83">
        <v>125</v>
      </c>
      <c r="E101" s="44">
        <f>IF(AND(C101="",D101=""),"",C101-D101)</f>
        <v>-125</v>
      </c>
      <c r="F101" s="13"/>
      <c r="G101" s="13"/>
      <c r="H101" s="13"/>
      <c r="I101" s="13"/>
      <c r="J101" s="13"/>
      <c r="K101" s="13"/>
    </row>
    <row r="102" spans="1:11" ht="20.100000000000001" customHeight="1" x14ac:dyDescent="0.25">
      <c r="A102" s="69"/>
      <c r="B102" s="45" t="s">
        <v>51</v>
      </c>
      <c r="C102" s="63"/>
      <c r="D102" s="83">
        <v>85</v>
      </c>
      <c r="E102" s="46">
        <f>IF(AND(C102="",D102=""),"",C102-D102)</f>
        <v>-85</v>
      </c>
      <c r="F102" s="13"/>
      <c r="G102" s="13"/>
      <c r="H102" s="13"/>
      <c r="I102" s="13"/>
      <c r="J102" s="13"/>
      <c r="K102" s="13"/>
    </row>
    <row r="103" spans="1:11" ht="20.100000000000001" customHeight="1" x14ac:dyDescent="0.25">
      <c r="A103" s="69"/>
      <c r="B103" s="43" t="s">
        <v>52</v>
      </c>
      <c r="C103" s="63"/>
      <c r="D103" s="83">
        <v>40</v>
      </c>
      <c r="E103" s="44">
        <f>IF(AND(C103="",D103=""),"",C103-D103)</f>
        <v>-40</v>
      </c>
      <c r="F103" s="13"/>
      <c r="G103" s="13"/>
      <c r="H103" s="13"/>
      <c r="I103" s="13"/>
      <c r="J103" s="13"/>
      <c r="K103" s="13"/>
    </row>
    <row r="104" spans="1:11" ht="20.100000000000001" customHeight="1" x14ac:dyDescent="0.25">
      <c r="A104" s="69"/>
      <c r="B104" s="45" t="s">
        <v>53</v>
      </c>
      <c r="C104" s="63"/>
      <c r="D104" s="83">
        <v>60</v>
      </c>
      <c r="E104" s="46">
        <f>IF(AND(C104="",D104=""),"",C104-D104)</f>
        <v>-60</v>
      </c>
      <c r="F104" s="13"/>
      <c r="G104" s="13"/>
      <c r="H104" s="13"/>
      <c r="I104" s="13"/>
      <c r="J104" s="13"/>
      <c r="K104" s="13"/>
    </row>
    <row r="105" spans="1:11" ht="20.100000000000001" customHeight="1" x14ac:dyDescent="0.25">
      <c r="A105" s="69"/>
      <c r="B105" s="43" t="s">
        <v>54</v>
      </c>
      <c r="C105" s="63"/>
      <c r="D105" s="83">
        <v>80</v>
      </c>
      <c r="E105" s="44">
        <f>IF(AND(C105="",D105=""),"",C105-D105)</f>
        <v>-80</v>
      </c>
      <c r="F105" s="13"/>
      <c r="G105" s="13"/>
      <c r="H105" s="13"/>
      <c r="I105" s="13"/>
      <c r="J105" s="13"/>
      <c r="K105" s="13"/>
    </row>
    <row r="106" spans="1:11" ht="20.100000000000001" customHeight="1" x14ac:dyDescent="0.25">
      <c r="A106" s="69"/>
      <c r="B106" s="51" t="s">
        <v>55</v>
      </c>
      <c r="C106" s="52"/>
      <c r="D106" s="75"/>
      <c r="E106" s="52"/>
      <c r="F106" s="13"/>
      <c r="G106" s="13"/>
      <c r="H106" s="13"/>
      <c r="I106" s="13"/>
      <c r="J106" s="13"/>
      <c r="K106" s="13"/>
    </row>
    <row r="107" spans="1:11" ht="20.100000000000001" customHeight="1" x14ac:dyDescent="0.25">
      <c r="A107" s="69"/>
      <c r="B107" s="43" t="s">
        <v>56</v>
      </c>
      <c r="C107" s="63"/>
      <c r="D107" s="83">
        <v>250</v>
      </c>
      <c r="E107" s="44">
        <f>IF(AND(C107="",D107=""),"",C107-D107)</f>
        <v>-250</v>
      </c>
      <c r="F107" s="13"/>
      <c r="G107" s="13"/>
      <c r="H107" s="13"/>
      <c r="I107" s="13"/>
      <c r="J107" s="13"/>
      <c r="K107" s="13"/>
    </row>
    <row r="108" spans="1:11" ht="20.100000000000001" customHeight="1" x14ac:dyDescent="0.25">
      <c r="A108" s="69"/>
      <c r="B108" s="45" t="s">
        <v>57</v>
      </c>
      <c r="C108" s="63"/>
      <c r="D108" s="83">
        <v>25</v>
      </c>
      <c r="E108" s="46">
        <f>IF(AND(C108="",D108=""),"",C108-D108)</f>
        <v>-25</v>
      </c>
      <c r="F108" s="13"/>
      <c r="G108" s="13"/>
      <c r="H108" s="13"/>
      <c r="I108" s="13"/>
      <c r="J108" s="13"/>
      <c r="K108" s="13"/>
    </row>
    <row r="109" spans="1:11" ht="20.100000000000001" customHeight="1" x14ac:dyDescent="0.25">
      <c r="A109" s="69"/>
      <c r="B109" s="43" t="s">
        <v>58</v>
      </c>
      <c r="C109" s="63"/>
      <c r="D109" s="83">
        <v>75</v>
      </c>
      <c r="E109" s="44">
        <f>IF(AND(C109="",D109=""),"",C109-D109)</f>
        <v>-75</v>
      </c>
      <c r="F109" s="13"/>
      <c r="G109" s="13"/>
      <c r="H109" s="13"/>
      <c r="I109" s="13"/>
      <c r="J109" s="13"/>
      <c r="K109" s="13"/>
    </row>
    <row r="110" spans="1:11" ht="20.100000000000001" customHeight="1" x14ac:dyDescent="0.25">
      <c r="A110" s="69"/>
      <c r="B110" s="45" t="s">
        <v>59</v>
      </c>
      <c r="C110" s="63"/>
      <c r="D110" s="83">
        <v>40</v>
      </c>
      <c r="E110" s="46">
        <f>IF(AND(C110="",D110=""),"",C110-D110)</f>
        <v>-40</v>
      </c>
      <c r="F110" s="13"/>
      <c r="G110" s="13"/>
      <c r="H110" s="13"/>
      <c r="I110" s="13"/>
      <c r="J110" s="13"/>
      <c r="K110" s="13"/>
    </row>
    <row r="111" spans="1:11" ht="20.100000000000001" customHeight="1" x14ac:dyDescent="0.25">
      <c r="A111" s="69"/>
      <c r="B111" s="51" t="s">
        <v>60</v>
      </c>
      <c r="C111" s="52"/>
      <c r="D111" s="75"/>
      <c r="E111" s="52"/>
      <c r="F111" s="13"/>
      <c r="G111" s="13"/>
      <c r="H111" s="13"/>
      <c r="I111" s="13"/>
      <c r="J111" s="13"/>
      <c r="K111" s="13"/>
    </row>
    <row r="112" spans="1:11" ht="20.100000000000001" customHeight="1" x14ac:dyDescent="0.25">
      <c r="A112" s="69"/>
      <c r="B112" s="43" t="s">
        <v>61</v>
      </c>
      <c r="C112" s="63"/>
      <c r="D112" s="83">
        <v>200</v>
      </c>
      <c r="E112" s="44">
        <f>IF(AND(C112="",D112=""),"",C112-D112)</f>
        <v>-200</v>
      </c>
      <c r="F112" s="13"/>
      <c r="G112" s="13"/>
      <c r="H112" s="13"/>
      <c r="I112" s="13"/>
      <c r="J112" s="13"/>
      <c r="K112" s="13"/>
    </row>
    <row r="113" spans="1:11" ht="20.100000000000001" customHeight="1" x14ac:dyDescent="0.25">
      <c r="A113" s="69"/>
      <c r="B113" s="45" t="s">
        <v>62</v>
      </c>
      <c r="C113" s="63"/>
      <c r="D113" s="83">
        <v>15</v>
      </c>
      <c r="E113" s="46">
        <f>IF(AND(C113="",D113=""),"",C113-D113)</f>
        <v>-15</v>
      </c>
      <c r="F113" s="13"/>
      <c r="G113" s="13"/>
      <c r="H113" s="13"/>
      <c r="I113" s="13"/>
      <c r="J113" s="13"/>
      <c r="K113" s="13"/>
    </row>
    <row r="114" spans="1:11" ht="20.100000000000001" customHeight="1" x14ac:dyDescent="0.25">
      <c r="A114" s="69"/>
      <c r="B114" s="43" t="s">
        <v>63</v>
      </c>
      <c r="C114" s="63"/>
      <c r="D114" s="83">
        <v>0</v>
      </c>
      <c r="E114" s="44">
        <f>IF(AND(C114="",D114=""),"",C114-D114)</f>
        <v>0</v>
      </c>
      <c r="F114" s="13"/>
      <c r="G114" s="13"/>
      <c r="H114" s="13"/>
      <c r="I114" s="13"/>
      <c r="J114" s="13"/>
      <c r="K114" s="13"/>
    </row>
    <row r="115" spans="1:11" ht="20.100000000000001" customHeight="1" x14ac:dyDescent="0.25">
      <c r="A115" s="69"/>
      <c r="B115" s="51" t="s">
        <v>64</v>
      </c>
      <c r="C115" s="52"/>
      <c r="D115" s="75"/>
      <c r="E115" s="52"/>
      <c r="F115" s="13"/>
      <c r="G115" s="13"/>
      <c r="H115" s="13"/>
      <c r="I115" s="13"/>
      <c r="J115" s="13"/>
      <c r="K115" s="13"/>
    </row>
    <row r="116" spans="1:11" ht="20.100000000000001" customHeight="1" x14ac:dyDescent="0.25">
      <c r="A116" s="69"/>
      <c r="B116" s="43" t="s">
        <v>65</v>
      </c>
      <c r="C116" s="63"/>
      <c r="D116" s="83">
        <v>90</v>
      </c>
      <c r="E116" s="44">
        <f>IF(AND(C116="",D116=""),"",C116-D116)</f>
        <v>-90</v>
      </c>
      <c r="F116" s="13"/>
      <c r="G116" s="13"/>
      <c r="H116" s="13"/>
      <c r="I116" s="13"/>
      <c r="J116" s="13"/>
      <c r="K116" s="13"/>
    </row>
    <row r="117" spans="1:11" ht="20.100000000000001" customHeight="1" x14ac:dyDescent="0.25">
      <c r="A117" s="69"/>
      <c r="B117" s="45" t="s">
        <v>66</v>
      </c>
      <c r="C117" s="63"/>
      <c r="D117" s="83">
        <v>35</v>
      </c>
      <c r="E117" s="46">
        <f>IF(AND(C117="",D117=""),"",C117-D117)</f>
        <v>-35</v>
      </c>
      <c r="F117" s="13"/>
      <c r="G117" s="13"/>
      <c r="H117" s="13"/>
      <c r="I117" s="13"/>
      <c r="J117" s="13"/>
      <c r="K117" s="13"/>
    </row>
    <row r="118" spans="1:11" ht="20.100000000000001" customHeight="1" x14ac:dyDescent="0.25">
      <c r="A118" s="69"/>
      <c r="B118" s="43" t="s">
        <v>67</v>
      </c>
      <c r="C118" s="63"/>
      <c r="D118" s="83">
        <v>50</v>
      </c>
      <c r="E118" s="44">
        <f>IF(AND(C118="",D118=""),"",C118-D118)</f>
        <v>-50</v>
      </c>
      <c r="F118" s="13"/>
      <c r="G118" s="13"/>
      <c r="H118" s="13"/>
      <c r="I118" s="13"/>
      <c r="J118" s="13"/>
      <c r="K118" s="13"/>
    </row>
    <row r="119" spans="1:11" ht="20.100000000000001" customHeight="1" x14ac:dyDescent="0.25">
      <c r="A119" s="69"/>
      <c r="B119" s="51" t="s">
        <v>68</v>
      </c>
      <c r="C119" s="52"/>
      <c r="D119" s="75"/>
      <c r="E119" s="52"/>
      <c r="F119" s="13"/>
      <c r="G119" s="13"/>
      <c r="H119" s="13"/>
      <c r="I119" s="13"/>
      <c r="J119" s="13"/>
      <c r="K119" s="13"/>
    </row>
    <row r="120" spans="1:11" ht="20.100000000000001" customHeight="1" x14ac:dyDescent="0.25">
      <c r="A120" s="69"/>
      <c r="B120" s="43" t="s">
        <v>69</v>
      </c>
      <c r="C120" s="63"/>
      <c r="D120" s="83">
        <v>30</v>
      </c>
      <c r="E120" s="44">
        <f>IF(AND(C120="",D120=""),"",C120-D120)</f>
        <v>-30</v>
      </c>
      <c r="F120" s="13"/>
      <c r="G120" s="13"/>
      <c r="H120" s="13"/>
      <c r="I120" s="13"/>
      <c r="J120" s="13"/>
      <c r="K120" s="13"/>
    </row>
    <row r="121" spans="1:11" ht="20.100000000000001" customHeight="1" x14ac:dyDescent="0.25">
      <c r="A121" s="69"/>
      <c r="B121" s="45" t="s">
        <v>70</v>
      </c>
      <c r="C121" s="63"/>
      <c r="D121" s="83">
        <v>35</v>
      </c>
      <c r="E121" s="46">
        <f>IF(AND(C121="",D121=""),"",C121-D121)</f>
        <v>-35</v>
      </c>
      <c r="F121" s="13"/>
      <c r="G121" s="13"/>
      <c r="H121" s="13"/>
      <c r="I121" s="13"/>
      <c r="J121" s="13"/>
      <c r="K121" s="13"/>
    </row>
    <row r="122" spans="1:11" ht="20.100000000000001" customHeight="1" x14ac:dyDescent="0.25">
      <c r="A122" s="69"/>
      <c r="B122" s="43" t="s">
        <v>71</v>
      </c>
      <c r="C122" s="63"/>
      <c r="D122" s="83">
        <v>80</v>
      </c>
      <c r="E122" s="44">
        <f>IF(AND(C122="",D122=""),"",C122-D122)</f>
        <v>-80</v>
      </c>
      <c r="F122" s="13"/>
      <c r="G122" s="13"/>
      <c r="H122" s="13"/>
      <c r="I122" s="13"/>
      <c r="J122" s="13"/>
      <c r="K122" s="13"/>
    </row>
    <row r="123" spans="1:11" ht="20.100000000000001" customHeight="1" x14ac:dyDescent="0.25">
      <c r="A123" s="69"/>
      <c r="B123" s="51" t="s">
        <v>72</v>
      </c>
      <c r="C123" s="52"/>
      <c r="D123" s="75"/>
      <c r="E123" s="52"/>
      <c r="F123" s="13"/>
      <c r="G123" s="13"/>
      <c r="H123" s="13"/>
      <c r="I123" s="13"/>
      <c r="J123" s="13"/>
      <c r="K123" s="13"/>
    </row>
    <row r="124" spans="1:11" ht="20.100000000000001" customHeight="1" x14ac:dyDescent="0.25">
      <c r="A124" s="69"/>
      <c r="B124" s="43" t="s">
        <v>73</v>
      </c>
      <c r="C124" s="63"/>
      <c r="D124" s="83">
        <v>200</v>
      </c>
      <c r="E124" s="44">
        <f>IF(AND(C124="",D124=""),"",C124-D124)</f>
        <v>-200</v>
      </c>
      <c r="F124" s="13"/>
      <c r="G124" s="13"/>
      <c r="H124" s="13"/>
      <c r="I124" s="13"/>
      <c r="J124" s="13"/>
      <c r="K124" s="13"/>
    </row>
    <row r="125" spans="1:11" ht="20.100000000000001" customHeight="1" x14ac:dyDescent="0.25">
      <c r="A125" s="69"/>
      <c r="B125" s="45" t="s">
        <v>74</v>
      </c>
      <c r="C125" s="63"/>
      <c r="D125" s="83">
        <v>300</v>
      </c>
      <c r="E125" s="46">
        <f>IF(AND(C125="",D125=""),"",C125-D125)</f>
        <v>-300</v>
      </c>
      <c r="F125" s="13"/>
      <c r="G125" s="13"/>
      <c r="H125" s="13"/>
      <c r="I125" s="13"/>
      <c r="J125" s="13"/>
      <c r="K125" s="13"/>
    </row>
    <row r="126" spans="1:11" ht="20.100000000000001" customHeight="1" x14ac:dyDescent="0.25">
      <c r="A126" s="69"/>
      <c r="B126" s="43" t="s">
        <v>75</v>
      </c>
      <c r="C126" s="63"/>
      <c r="D126" s="83">
        <v>150</v>
      </c>
      <c r="E126" s="44">
        <f>IF(AND(C126="",D126=""),"",C126-D126)</f>
        <v>-150</v>
      </c>
      <c r="F126" s="13"/>
      <c r="G126" s="13"/>
      <c r="H126" s="13"/>
      <c r="I126" s="13"/>
      <c r="J126" s="13"/>
      <c r="K126" s="13"/>
    </row>
    <row r="127" spans="1:11" ht="20.100000000000001" customHeight="1" x14ac:dyDescent="0.25">
      <c r="A127" s="69"/>
      <c r="B127" s="51" t="s">
        <v>76</v>
      </c>
      <c r="C127" s="52"/>
      <c r="D127" s="75"/>
      <c r="E127" s="52"/>
      <c r="F127" s="13"/>
      <c r="G127" s="13"/>
      <c r="H127" s="13"/>
      <c r="I127" s="13"/>
      <c r="J127" s="13"/>
      <c r="K127" s="13"/>
    </row>
    <row r="128" spans="1:11" ht="20.100000000000001" customHeight="1" x14ac:dyDescent="0.25">
      <c r="A128" s="69"/>
      <c r="B128" s="43" t="s">
        <v>77</v>
      </c>
      <c r="C128" s="63"/>
      <c r="D128" s="83">
        <v>45</v>
      </c>
      <c r="E128" s="44">
        <f>IF(AND(C128="",D128=""),"",C128-D128)</f>
        <v>-45</v>
      </c>
      <c r="F128" s="13"/>
      <c r="G128" s="13"/>
      <c r="H128" s="13"/>
      <c r="I128" s="13"/>
      <c r="J128" s="13"/>
      <c r="K128" s="13"/>
    </row>
    <row r="129" spans="1:11" ht="20.100000000000001" customHeight="1" x14ac:dyDescent="0.25">
      <c r="A129" s="69"/>
      <c r="B129" s="45" t="s">
        <v>78</v>
      </c>
      <c r="C129" s="63"/>
      <c r="D129" s="83">
        <v>50</v>
      </c>
      <c r="E129" s="46">
        <f>IF(AND(C129="",D129=""),"",C129-D129)</f>
        <v>-50</v>
      </c>
      <c r="F129" s="13"/>
      <c r="G129" s="13"/>
      <c r="H129" s="13"/>
      <c r="I129" s="13"/>
      <c r="J129" s="13"/>
      <c r="K129" s="13"/>
    </row>
    <row r="130" spans="1:11" ht="20.100000000000001" customHeight="1" x14ac:dyDescent="0.25">
      <c r="A130" s="69"/>
      <c r="B130" s="43" t="s">
        <v>79</v>
      </c>
      <c r="C130" s="63"/>
      <c r="D130" s="83">
        <v>40</v>
      </c>
      <c r="E130" s="65">
        <f>IF(AND(C130="",D130=""),"",C130-D130)</f>
        <v>-40</v>
      </c>
      <c r="F130" s="13"/>
      <c r="G130" s="13"/>
      <c r="H130" s="13"/>
      <c r="I130" s="13"/>
      <c r="J130" s="13"/>
      <c r="K130" s="13"/>
    </row>
    <row r="131" spans="1:11" ht="24" customHeight="1" x14ac:dyDescent="0.25">
      <c r="A131" s="69"/>
      <c r="B131" s="53" t="s">
        <v>80</v>
      </c>
      <c r="C131" s="54">
        <f>C85+C86+C87+C88+C89+C91+C92+C93+C94+C95+C97+C98+C99+C101+C102+C103+C104+C105+C107+C108+C109+C110+C112+C113+C114+C116+C117+C118+C120+C121+C122+C124+C125+C126+C128+C129+C130</f>
        <v>0</v>
      </c>
      <c r="D131" s="64">
        <f>D85+D86+D87+D88+D89+D91+D92+D93+D94+D95+D97+D98+D99+D101+D102+D103+D104+D105+D107+D108+D109+D110+D112+D113+D114+D116+D117+D118+D120+D121+D122+D124+D125+D126+D128+D129+D130</f>
        <v>5450</v>
      </c>
      <c r="E131" s="103">
        <f>C131-D131</f>
        <v>-5450</v>
      </c>
      <c r="F131" s="13"/>
      <c r="G131" s="13"/>
      <c r="H131" s="13"/>
      <c r="I131" s="13"/>
      <c r="J131" s="13"/>
      <c r="K131" s="13"/>
    </row>
    <row r="132" spans="1:11" ht="6" customHeight="1" x14ac:dyDescent="0.25">
      <c r="A132" s="69"/>
      <c r="B132" s="68"/>
      <c r="C132" s="68"/>
      <c r="D132" s="68"/>
      <c r="E132" s="76"/>
      <c r="F132" s="13"/>
      <c r="G132" s="13"/>
      <c r="H132" s="13"/>
      <c r="I132" s="13"/>
      <c r="J132" s="13"/>
      <c r="K132" s="13"/>
    </row>
    <row r="133" spans="1:11" ht="24" customHeight="1" x14ac:dyDescent="0.25">
      <c r="A133" s="69"/>
      <c r="B133" s="55" t="s">
        <v>86</v>
      </c>
      <c r="C133" s="39"/>
      <c r="D133" s="70"/>
      <c r="E133" s="39"/>
      <c r="F133" s="13"/>
      <c r="G133" s="13"/>
      <c r="H133" s="13"/>
      <c r="I133" s="13"/>
      <c r="J133" s="13"/>
      <c r="K133" s="13"/>
    </row>
    <row r="134" spans="1:11" ht="21.95" customHeight="1" x14ac:dyDescent="0.25">
      <c r="A134" s="69"/>
      <c r="B134" s="56" t="s">
        <v>82</v>
      </c>
      <c r="C134" s="57">
        <f>C80</f>
        <v>0</v>
      </c>
      <c r="D134" s="84">
        <f>D80</f>
        <v>6080</v>
      </c>
      <c r="E134" s="58"/>
      <c r="F134" s="13"/>
      <c r="G134" s="13"/>
      <c r="H134" s="13"/>
      <c r="I134" s="13"/>
      <c r="J134" s="13"/>
      <c r="K134" s="13"/>
    </row>
    <row r="135" spans="1:11" ht="21.95" customHeight="1" x14ac:dyDescent="0.25">
      <c r="A135" s="69"/>
      <c r="B135" s="56" t="s">
        <v>83</v>
      </c>
      <c r="C135" s="57">
        <f>C131</f>
        <v>0</v>
      </c>
      <c r="D135" s="84">
        <f>D131</f>
        <v>5450</v>
      </c>
      <c r="E135" s="58"/>
      <c r="F135" s="13"/>
      <c r="G135" s="13"/>
      <c r="H135" s="13"/>
      <c r="I135" s="13"/>
      <c r="J135" s="13"/>
      <c r="K135" s="13"/>
    </row>
    <row r="136" spans="1:11" ht="21.95" customHeight="1" x14ac:dyDescent="0.25">
      <c r="A136" s="69"/>
      <c r="B136" s="59" t="s">
        <v>84</v>
      </c>
      <c r="C136" s="60">
        <f>C134-C135</f>
        <v>0</v>
      </c>
      <c r="D136" s="85">
        <f>D80-D131</f>
        <v>630</v>
      </c>
      <c r="E136" s="61"/>
      <c r="F136" s="13"/>
      <c r="G136" s="13"/>
      <c r="H136" s="13"/>
      <c r="I136" s="13"/>
      <c r="J136" s="13"/>
      <c r="K136" s="13"/>
    </row>
    <row r="137" spans="1:11" ht="21.95" customHeight="1" x14ac:dyDescent="0.25">
      <c r="A137" s="69"/>
      <c r="B137" s="78" t="s">
        <v>5</v>
      </c>
      <c r="C137" s="79" t="str">
        <f>IF(C134=0,"",1-C135/C134)</f>
        <v/>
      </c>
      <c r="D137" s="86">
        <f>IF(D80=0,"",1-D131/D80)</f>
        <v>0.10361842105263153</v>
      </c>
      <c r="E137" s="87"/>
      <c r="F137" s="13"/>
      <c r="G137" s="13"/>
      <c r="H137" s="13"/>
      <c r="I137" s="13"/>
      <c r="J137" s="13"/>
      <c r="K137" s="13"/>
    </row>
    <row r="138" spans="1:11" ht="6" customHeight="1" x14ac:dyDescent="0.25">
      <c r="A138" s="69"/>
      <c r="B138" s="69"/>
      <c r="C138" s="69"/>
      <c r="D138" s="69"/>
      <c r="E138" s="77"/>
      <c r="F138" s="13"/>
      <c r="G138" s="13"/>
      <c r="H138" s="13"/>
      <c r="I138" s="13"/>
      <c r="J138" s="13"/>
      <c r="K138" s="13"/>
    </row>
    <row r="139" spans="1:11" ht="6" customHeight="1" x14ac:dyDescent="0.25">
      <c r="A139" s="69"/>
      <c r="B139" s="69"/>
      <c r="C139" s="69"/>
      <c r="D139" s="69"/>
      <c r="E139" s="77"/>
      <c r="F139" s="13"/>
      <c r="G139" s="13"/>
      <c r="H139" s="13"/>
      <c r="I139" s="13"/>
      <c r="J139" s="13"/>
      <c r="K139" s="13"/>
    </row>
    <row r="140" spans="1:11" ht="6" customHeight="1" x14ac:dyDescent="0.25">
      <c r="A140" s="69"/>
      <c r="B140" s="69"/>
      <c r="C140" s="69"/>
      <c r="D140" s="69"/>
      <c r="E140" s="77"/>
      <c r="F140" s="13"/>
      <c r="G140" s="13"/>
      <c r="H140" s="13"/>
      <c r="I140" s="13"/>
      <c r="J140" s="13"/>
      <c r="K140" s="13"/>
    </row>
    <row r="141" spans="1:11" ht="32.1" customHeight="1" x14ac:dyDescent="0.25">
      <c r="A141" s="69"/>
      <c r="B141" s="80" t="s">
        <v>87</v>
      </c>
      <c r="C141" s="81"/>
      <c r="D141" s="82"/>
      <c r="E141" s="81"/>
      <c r="F141" s="13"/>
      <c r="G141" s="13"/>
      <c r="H141" s="13"/>
      <c r="I141" s="13"/>
      <c r="J141" s="13"/>
      <c r="K141" s="13"/>
    </row>
    <row r="142" spans="1:11" ht="6" customHeight="1" x14ac:dyDescent="0.25">
      <c r="A142" s="69"/>
      <c r="B142" s="37"/>
      <c r="C142" s="37"/>
      <c r="D142" s="37"/>
      <c r="E142" s="66"/>
      <c r="F142" s="13"/>
      <c r="G142" s="13"/>
      <c r="H142" s="13"/>
      <c r="I142" s="13"/>
      <c r="J142" s="13"/>
      <c r="K142" s="13"/>
    </row>
    <row r="143" spans="1:11" ht="24" customHeight="1" x14ac:dyDescent="0.25">
      <c r="A143" s="69"/>
      <c r="B143" s="40" t="s">
        <v>22</v>
      </c>
      <c r="C143" s="41"/>
      <c r="D143" s="71"/>
      <c r="E143" s="41"/>
      <c r="F143" s="13"/>
      <c r="G143" s="13"/>
      <c r="H143" s="13"/>
      <c r="I143" s="13"/>
      <c r="J143" s="13"/>
      <c r="K143" s="13"/>
    </row>
    <row r="144" spans="1:11" ht="21.95" customHeight="1" x14ac:dyDescent="0.25">
      <c r="A144" s="69"/>
      <c r="B144" s="42" t="s">
        <v>20</v>
      </c>
      <c r="C144" s="42" t="s">
        <v>23</v>
      </c>
      <c r="D144" s="72" t="s">
        <v>24</v>
      </c>
      <c r="E144" s="42" t="s">
        <v>25</v>
      </c>
      <c r="F144" s="13"/>
      <c r="G144" s="13"/>
      <c r="H144" s="13"/>
      <c r="I144" s="13"/>
      <c r="J144" s="13"/>
      <c r="K144" s="13"/>
    </row>
    <row r="145" spans="1:11" ht="20.100000000000001" customHeight="1" x14ac:dyDescent="0.25">
      <c r="A145" s="69"/>
      <c r="B145" s="43" t="s">
        <v>26</v>
      </c>
      <c r="C145" s="63"/>
      <c r="D145" s="83">
        <v>5100</v>
      </c>
      <c r="E145" s="44">
        <f>IF(AND(C145="",D145=""),"",D145-C145)</f>
        <v>5100</v>
      </c>
      <c r="F145" s="13"/>
      <c r="G145" s="13"/>
      <c r="H145" s="13"/>
      <c r="I145" s="13"/>
      <c r="J145" s="13"/>
      <c r="K145" s="13"/>
    </row>
    <row r="146" spans="1:11" ht="20.100000000000001" customHeight="1" x14ac:dyDescent="0.25">
      <c r="A146" s="69"/>
      <c r="B146" s="45" t="s">
        <v>27</v>
      </c>
      <c r="C146" s="63"/>
      <c r="D146" s="83">
        <v>500</v>
      </c>
      <c r="E146" s="46">
        <f>IF(AND(C146="",D146=""),"",D146-C146)</f>
        <v>500</v>
      </c>
      <c r="F146" s="13"/>
      <c r="G146" s="13"/>
      <c r="H146" s="13"/>
      <c r="I146" s="13"/>
      <c r="J146" s="13"/>
      <c r="K146" s="13"/>
    </row>
    <row r="147" spans="1:11" ht="20.100000000000001" customHeight="1" x14ac:dyDescent="0.25">
      <c r="A147" s="69"/>
      <c r="B147" s="43" t="s">
        <v>28</v>
      </c>
      <c r="C147" s="63"/>
      <c r="D147" s="83">
        <v>400</v>
      </c>
      <c r="E147" s="44">
        <f>IF(AND(C147="",D147=""),"",D147-C147)</f>
        <v>400</v>
      </c>
      <c r="F147" s="13"/>
      <c r="G147" s="13"/>
      <c r="H147" s="13"/>
      <c r="I147" s="13"/>
      <c r="J147" s="13"/>
      <c r="K147" s="13"/>
    </row>
    <row r="148" spans="1:11" ht="20.100000000000001" customHeight="1" x14ac:dyDescent="0.25">
      <c r="A148" s="69"/>
      <c r="B148" s="45" t="s">
        <v>29</v>
      </c>
      <c r="C148" s="63"/>
      <c r="D148" s="83">
        <v>110</v>
      </c>
      <c r="E148" s="46">
        <f>IF(AND(C148="",D148=""),"",D148-C148)</f>
        <v>110</v>
      </c>
      <c r="F148" s="13"/>
      <c r="G148" s="13"/>
      <c r="H148" s="13"/>
      <c r="I148" s="13"/>
      <c r="J148" s="13"/>
      <c r="K148" s="13"/>
    </row>
    <row r="149" spans="1:11" ht="20.100000000000001" customHeight="1" x14ac:dyDescent="0.25">
      <c r="A149" s="69"/>
      <c r="B149" s="43" t="s">
        <v>30</v>
      </c>
      <c r="C149" s="63"/>
      <c r="D149" s="83">
        <v>50</v>
      </c>
      <c r="E149" s="44">
        <f>IF(AND(C149="",D149=""),"",D149-C149)</f>
        <v>50</v>
      </c>
      <c r="F149" s="13"/>
      <c r="G149" s="13"/>
      <c r="H149" s="13"/>
      <c r="I149" s="13"/>
      <c r="J149" s="13"/>
      <c r="K149" s="13"/>
    </row>
    <row r="150" spans="1:11" ht="24" customHeight="1" x14ac:dyDescent="0.25">
      <c r="A150" s="69"/>
      <c r="B150" s="47" t="s">
        <v>31</v>
      </c>
      <c r="C150" s="48">
        <f>SUM(C145:C149)</f>
        <v>0</v>
      </c>
      <c r="D150" s="73">
        <f>SUM(D145:D149)</f>
        <v>6160</v>
      </c>
      <c r="E150" s="48">
        <f>D150-C150</f>
        <v>6160</v>
      </c>
      <c r="F150" s="13"/>
      <c r="G150" s="13"/>
      <c r="H150" s="13"/>
      <c r="I150" s="13"/>
      <c r="J150" s="13"/>
      <c r="K150" s="13"/>
    </row>
    <row r="151" spans="1:11" ht="6" customHeight="1" x14ac:dyDescent="0.25">
      <c r="A151" s="69"/>
      <c r="B151" s="68"/>
      <c r="C151" s="68"/>
      <c r="D151" s="68"/>
      <c r="E151" s="76"/>
      <c r="F151" s="13"/>
      <c r="G151" s="13"/>
      <c r="H151" s="13"/>
      <c r="I151" s="13"/>
      <c r="J151" s="13"/>
      <c r="K151" s="13"/>
    </row>
    <row r="152" spans="1:11" ht="24" customHeight="1" x14ac:dyDescent="0.25">
      <c r="A152" s="69"/>
      <c r="B152" s="49" t="s">
        <v>32</v>
      </c>
      <c r="C152" s="50"/>
      <c r="D152" s="74"/>
      <c r="E152" s="50"/>
      <c r="F152" s="13"/>
      <c r="G152" s="13"/>
      <c r="H152" s="13"/>
      <c r="I152" s="13"/>
      <c r="J152" s="13"/>
      <c r="K152" s="13"/>
    </row>
    <row r="153" spans="1:11" ht="21.95" customHeight="1" x14ac:dyDescent="0.25">
      <c r="A153" s="69"/>
      <c r="B153" s="42" t="s">
        <v>20</v>
      </c>
      <c r="C153" s="42" t="s">
        <v>23</v>
      </c>
      <c r="D153" s="72" t="s">
        <v>24</v>
      </c>
      <c r="E153" s="42" t="s">
        <v>25</v>
      </c>
      <c r="F153" s="13"/>
      <c r="G153" s="13"/>
      <c r="H153" s="13"/>
      <c r="I153" s="13"/>
      <c r="J153" s="13"/>
      <c r="K153" s="13"/>
    </row>
    <row r="154" spans="1:11" ht="20.100000000000001" customHeight="1" x14ac:dyDescent="0.25">
      <c r="A154" s="69"/>
      <c r="B154" s="51" t="s">
        <v>33</v>
      </c>
      <c r="C154" s="52"/>
      <c r="D154" s="75"/>
      <c r="E154" s="52"/>
      <c r="F154" s="13"/>
      <c r="G154" s="13"/>
      <c r="H154" s="13"/>
      <c r="I154" s="13"/>
      <c r="J154" s="13"/>
      <c r="K154" s="13"/>
    </row>
    <row r="155" spans="1:11" ht="20.100000000000001" customHeight="1" x14ac:dyDescent="0.25">
      <c r="A155" s="69"/>
      <c r="B155" s="43" t="s">
        <v>34</v>
      </c>
      <c r="C155" s="63"/>
      <c r="D155" s="83">
        <v>1500</v>
      </c>
      <c r="E155" s="44">
        <f>IF(AND(C155="",D155=""),"",C155-D155)</f>
        <v>-1500</v>
      </c>
      <c r="F155" s="13"/>
      <c r="G155" s="13"/>
      <c r="H155" s="13"/>
      <c r="I155" s="13"/>
      <c r="J155" s="13"/>
      <c r="K155" s="13"/>
    </row>
    <row r="156" spans="1:11" ht="20.100000000000001" customHeight="1" x14ac:dyDescent="0.25">
      <c r="A156" s="69"/>
      <c r="B156" s="45" t="s">
        <v>35</v>
      </c>
      <c r="C156" s="63"/>
      <c r="D156" s="83">
        <v>100</v>
      </c>
      <c r="E156" s="46">
        <f>IF(AND(C156="",D156=""),"",C156-D156)</f>
        <v>-100</v>
      </c>
      <c r="F156" s="13"/>
      <c r="G156" s="13"/>
      <c r="H156" s="13"/>
      <c r="I156" s="13"/>
      <c r="J156" s="13"/>
      <c r="K156" s="13"/>
    </row>
    <row r="157" spans="1:11" ht="20.100000000000001" customHeight="1" x14ac:dyDescent="0.25">
      <c r="A157" s="69"/>
      <c r="B157" s="43" t="s">
        <v>36</v>
      </c>
      <c r="C157" s="63"/>
      <c r="D157" s="83">
        <v>200</v>
      </c>
      <c r="E157" s="44">
        <f>IF(AND(C157="",D157=""),"",C157-D157)</f>
        <v>-200</v>
      </c>
      <c r="F157" s="13"/>
      <c r="G157" s="13"/>
      <c r="H157" s="13"/>
      <c r="I157" s="13"/>
      <c r="J157" s="13"/>
      <c r="K157" s="13"/>
    </row>
    <row r="158" spans="1:11" ht="20.100000000000001" customHeight="1" x14ac:dyDescent="0.25">
      <c r="A158" s="69"/>
      <c r="B158" s="45" t="s">
        <v>37</v>
      </c>
      <c r="C158" s="63"/>
      <c r="D158" s="83">
        <v>50</v>
      </c>
      <c r="E158" s="46">
        <f>IF(AND(C158="",D158=""),"",C158-D158)</f>
        <v>-50</v>
      </c>
      <c r="F158" s="13"/>
      <c r="G158" s="13"/>
      <c r="H158" s="13"/>
      <c r="I158" s="13"/>
      <c r="J158" s="13"/>
      <c r="K158" s="13"/>
    </row>
    <row r="159" spans="1:11" ht="20.100000000000001" customHeight="1" x14ac:dyDescent="0.25">
      <c r="A159" s="69"/>
      <c r="B159" s="43" t="s">
        <v>38</v>
      </c>
      <c r="C159" s="63"/>
      <c r="D159" s="83">
        <v>120</v>
      </c>
      <c r="E159" s="44">
        <f>IF(AND(C159="",D159=""),"",C159-D159)</f>
        <v>-120</v>
      </c>
      <c r="F159" s="13"/>
      <c r="G159" s="13"/>
      <c r="H159" s="13"/>
      <c r="I159" s="13"/>
      <c r="J159" s="13"/>
      <c r="K159" s="13"/>
    </row>
    <row r="160" spans="1:11" ht="20.100000000000001" customHeight="1" x14ac:dyDescent="0.25">
      <c r="A160" s="69"/>
      <c r="B160" s="51" t="s">
        <v>39</v>
      </c>
      <c r="C160" s="52"/>
      <c r="D160" s="75"/>
      <c r="E160" s="52"/>
      <c r="F160" s="13"/>
      <c r="G160" s="13"/>
      <c r="H160" s="13"/>
      <c r="I160" s="13"/>
      <c r="J160" s="13"/>
      <c r="K160" s="13"/>
    </row>
    <row r="161" spans="1:11" ht="20.100000000000001" customHeight="1" x14ac:dyDescent="0.25">
      <c r="A161" s="69"/>
      <c r="B161" s="43" t="s">
        <v>40</v>
      </c>
      <c r="C161" s="63"/>
      <c r="D161" s="83">
        <v>350</v>
      </c>
      <c r="E161" s="44">
        <f>IF(AND(C161="",D161=""),"",C161-D161)</f>
        <v>-350</v>
      </c>
      <c r="F161" s="13"/>
      <c r="G161" s="13"/>
      <c r="H161" s="13"/>
      <c r="I161" s="13"/>
      <c r="J161" s="13"/>
      <c r="K161" s="13"/>
    </row>
    <row r="162" spans="1:11" ht="20.100000000000001" customHeight="1" x14ac:dyDescent="0.25">
      <c r="A162" s="69"/>
      <c r="B162" s="45" t="s">
        <v>41</v>
      </c>
      <c r="C162" s="63"/>
      <c r="D162" s="83">
        <v>140</v>
      </c>
      <c r="E162" s="46">
        <f>IF(AND(C162="",D162=""),"",C162-D162)</f>
        <v>-140</v>
      </c>
      <c r="F162" s="13"/>
      <c r="G162" s="13"/>
      <c r="H162" s="13"/>
      <c r="I162" s="13"/>
      <c r="J162" s="13"/>
      <c r="K162" s="13"/>
    </row>
    <row r="163" spans="1:11" ht="20.100000000000001" customHeight="1" x14ac:dyDescent="0.25">
      <c r="A163" s="69"/>
      <c r="B163" s="43" t="s">
        <v>42</v>
      </c>
      <c r="C163" s="63"/>
      <c r="D163" s="83">
        <v>100</v>
      </c>
      <c r="E163" s="44">
        <f>IF(AND(C163="",D163=""),"",C163-D163)</f>
        <v>-100</v>
      </c>
      <c r="F163" s="13"/>
      <c r="G163" s="13"/>
      <c r="H163" s="13"/>
      <c r="I163" s="13"/>
      <c r="J163" s="13"/>
      <c r="K163" s="13"/>
    </row>
    <row r="164" spans="1:11" ht="20.100000000000001" customHeight="1" x14ac:dyDescent="0.25">
      <c r="A164" s="69"/>
      <c r="B164" s="45" t="s">
        <v>43</v>
      </c>
      <c r="C164" s="63"/>
      <c r="D164" s="83">
        <v>80</v>
      </c>
      <c r="E164" s="46">
        <f>IF(AND(C164="",D164=""),"",C164-D164)</f>
        <v>-80</v>
      </c>
      <c r="F164" s="13"/>
      <c r="G164" s="13"/>
      <c r="H164" s="13"/>
      <c r="I164" s="13"/>
      <c r="J164" s="13"/>
      <c r="K164" s="13"/>
    </row>
    <row r="165" spans="1:11" ht="20.100000000000001" customHeight="1" x14ac:dyDescent="0.25">
      <c r="A165" s="69"/>
      <c r="B165" s="43" t="s">
        <v>44</v>
      </c>
      <c r="C165" s="63"/>
      <c r="D165" s="83">
        <v>25</v>
      </c>
      <c r="E165" s="44">
        <f>IF(AND(C165="",D165=""),"",C165-D165)</f>
        <v>-25</v>
      </c>
      <c r="F165" s="13"/>
      <c r="G165" s="13"/>
      <c r="H165" s="13"/>
      <c r="I165" s="13"/>
      <c r="J165" s="13"/>
      <c r="K165" s="13"/>
    </row>
    <row r="166" spans="1:11" ht="20.100000000000001" customHeight="1" x14ac:dyDescent="0.25">
      <c r="A166" s="69"/>
      <c r="B166" s="51" t="s">
        <v>45</v>
      </c>
      <c r="C166" s="52"/>
      <c r="D166" s="75"/>
      <c r="E166" s="52"/>
      <c r="F166" s="13"/>
      <c r="G166" s="13"/>
      <c r="H166" s="13"/>
      <c r="I166" s="13"/>
      <c r="J166" s="13"/>
      <c r="K166" s="13"/>
    </row>
    <row r="167" spans="1:11" ht="20.100000000000001" customHeight="1" x14ac:dyDescent="0.25">
      <c r="A167" s="69"/>
      <c r="B167" s="43" t="s">
        <v>46</v>
      </c>
      <c r="C167" s="63"/>
      <c r="D167" s="83">
        <v>510</v>
      </c>
      <c r="E167" s="44">
        <f>IF(AND(C167="",D167=""),"",C167-D167)</f>
        <v>-510</v>
      </c>
      <c r="F167" s="13"/>
      <c r="G167" s="13"/>
      <c r="H167" s="13"/>
      <c r="I167" s="13"/>
      <c r="J167" s="13"/>
      <c r="K167" s="13"/>
    </row>
    <row r="168" spans="1:11" ht="20.100000000000001" customHeight="1" x14ac:dyDescent="0.25">
      <c r="A168" s="69"/>
      <c r="B168" s="45" t="s">
        <v>47</v>
      </c>
      <c r="C168" s="63"/>
      <c r="D168" s="83">
        <v>180</v>
      </c>
      <c r="E168" s="46">
        <f>IF(AND(C168="",D168=""),"",C168-D168)</f>
        <v>-180</v>
      </c>
      <c r="F168" s="13"/>
      <c r="G168" s="13"/>
      <c r="H168" s="13"/>
      <c r="I168" s="13"/>
      <c r="J168" s="13"/>
      <c r="K168" s="13"/>
    </row>
    <row r="169" spans="1:11" ht="20.100000000000001" customHeight="1" x14ac:dyDescent="0.25">
      <c r="A169" s="69"/>
      <c r="B169" s="43" t="s">
        <v>48</v>
      </c>
      <c r="C169" s="63"/>
      <c r="D169" s="83">
        <v>45</v>
      </c>
      <c r="E169" s="44">
        <f>IF(AND(C169="",D169=""),"",C169-D169)</f>
        <v>-45</v>
      </c>
      <c r="F169" s="13"/>
      <c r="G169" s="13"/>
      <c r="H169" s="13"/>
      <c r="I169" s="13"/>
      <c r="J169" s="13"/>
      <c r="K169" s="13"/>
    </row>
    <row r="170" spans="1:11" ht="20.100000000000001" customHeight="1" x14ac:dyDescent="0.25">
      <c r="A170" s="69"/>
      <c r="B170" s="51" t="s">
        <v>49</v>
      </c>
      <c r="C170" s="52"/>
      <c r="D170" s="75"/>
      <c r="E170" s="52"/>
      <c r="F170" s="13"/>
      <c r="G170" s="13"/>
      <c r="H170" s="13"/>
      <c r="I170" s="13"/>
      <c r="J170" s="13"/>
      <c r="K170" s="13"/>
    </row>
    <row r="171" spans="1:11" ht="20.100000000000001" customHeight="1" x14ac:dyDescent="0.25">
      <c r="A171" s="69"/>
      <c r="B171" s="43" t="s">
        <v>50</v>
      </c>
      <c r="C171" s="63"/>
      <c r="D171" s="83">
        <v>110</v>
      </c>
      <c r="E171" s="44">
        <f>IF(AND(C171="",D171=""),"",C171-D171)</f>
        <v>-110</v>
      </c>
      <c r="F171" s="13"/>
      <c r="G171" s="13"/>
      <c r="H171" s="13"/>
      <c r="I171" s="13"/>
      <c r="J171" s="13"/>
      <c r="K171" s="13"/>
    </row>
    <row r="172" spans="1:11" ht="20.100000000000001" customHeight="1" x14ac:dyDescent="0.25">
      <c r="A172" s="69"/>
      <c r="B172" s="45" t="s">
        <v>51</v>
      </c>
      <c r="C172" s="63"/>
      <c r="D172" s="83">
        <v>70</v>
      </c>
      <c r="E172" s="46">
        <f>IF(AND(C172="",D172=""),"",C172-D172)</f>
        <v>-70</v>
      </c>
      <c r="F172" s="13"/>
      <c r="G172" s="13"/>
      <c r="H172" s="13"/>
      <c r="I172" s="13"/>
      <c r="J172" s="13"/>
      <c r="K172" s="13"/>
    </row>
    <row r="173" spans="1:11" ht="20.100000000000001" customHeight="1" x14ac:dyDescent="0.25">
      <c r="A173" s="69"/>
      <c r="B173" s="43" t="s">
        <v>52</v>
      </c>
      <c r="C173" s="63"/>
      <c r="D173" s="83">
        <v>40</v>
      </c>
      <c r="E173" s="44">
        <f>IF(AND(C173="",D173=""),"",C173-D173)</f>
        <v>-40</v>
      </c>
      <c r="F173" s="13"/>
      <c r="G173" s="13"/>
      <c r="H173" s="13"/>
      <c r="I173" s="13"/>
      <c r="J173" s="13"/>
      <c r="K173" s="13"/>
    </row>
    <row r="174" spans="1:11" ht="20.100000000000001" customHeight="1" x14ac:dyDescent="0.25">
      <c r="A174" s="69"/>
      <c r="B174" s="45" t="s">
        <v>53</v>
      </c>
      <c r="C174" s="63"/>
      <c r="D174" s="83">
        <v>60</v>
      </c>
      <c r="E174" s="46">
        <f>IF(AND(C174="",D174=""),"",C174-D174)</f>
        <v>-60</v>
      </c>
      <c r="F174" s="13"/>
      <c r="G174" s="13"/>
      <c r="H174" s="13"/>
      <c r="I174" s="13"/>
      <c r="J174" s="13"/>
      <c r="K174" s="13"/>
    </row>
    <row r="175" spans="1:11" ht="20.100000000000001" customHeight="1" x14ac:dyDescent="0.25">
      <c r="A175" s="69"/>
      <c r="B175" s="43" t="s">
        <v>54</v>
      </c>
      <c r="C175" s="63"/>
      <c r="D175" s="83">
        <v>80</v>
      </c>
      <c r="E175" s="44">
        <f>IF(AND(C175="",D175=""),"",C175-D175)</f>
        <v>-80</v>
      </c>
      <c r="F175" s="13"/>
      <c r="G175" s="13"/>
      <c r="H175" s="13"/>
      <c r="I175" s="13"/>
      <c r="J175" s="13"/>
      <c r="K175" s="13"/>
    </row>
    <row r="176" spans="1:11" ht="20.100000000000001" customHeight="1" x14ac:dyDescent="0.25">
      <c r="A176" s="69"/>
      <c r="B176" s="51" t="s">
        <v>55</v>
      </c>
      <c r="C176" s="52"/>
      <c r="D176" s="75"/>
      <c r="E176" s="52"/>
      <c r="F176" s="13"/>
      <c r="G176" s="13"/>
      <c r="H176" s="13"/>
      <c r="I176" s="13"/>
      <c r="J176" s="13"/>
      <c r="K176" s="13"/>
    </row>
    <row r="177" spans="1:11" ht="20.100000000000001" customHeight="1" x14ac:dyDescent="0.25">
      <c r="A177" s="69"/>
      <c r="B177" s="43" t="s">
        <v>56</v>
      </c>
      <c r="C177" s="63"/>
      <c r="D177" s="83">
        <v>250</v>
      </c>
      <c r="E177" s="44">
        <f>IF(AND(C177="",D177=""),"",C177-D177)</f>
        <v>-250</v>
      </c>
      <c r="F177" s="13"/>
      <c r="G177" s="13"/>
      <c r="H177" s="13"/>
      <c r="I177" s="13"/>
      <c r="J177" s="13"/>
      <c r="K177" s="13"/>
    </row>
    <row r="178" spans="1:11" ht="20.100000000000001" customHeight="1" x14ac:dyDescent="0.25">
      <c r="A178" s="69"/>
      <c r="B178" s="45" t="s">
        <v>57</v>
      </c>
      <c r="C178" s="63"/>
      <c r="D178" s="83">
        <v>30</v>
      </c>
      <c r="E178" s="46">
        <f>IF(AND(C178="",D178=""),"",C178-D178)</f>
        <v>-30</v>
      </c>
      <c r="F178" s="13"/>
      <c r="G178" s="13"/>
      <c r="H178" s="13"/>
      <c r="I178" s="13"/>
      <c r="J178" s="13"/>
      <c r="K178" s="13"/>
    </row>
    <row r="179" spans="1:11" ht="20.100000000000001" customHeight="1" x14ac:dyDescent="0.25">
      <c r="A179" s="69"/>
      <c r="B179" s="43" t="s">
        <v>58</v>
      </c>
      <c r="C179" s="63"/>
      <c r="D179" s="83">
        <v>150</v>
      </c>
      <c r="E179" s="44">
        <f>IF(AND(C179="",D179=""),"",C179-D179)</f>
        <v>-150</v>
      </c>
      <c r="F179" s="13"/>
      <c r="G179" s="13"/>
      <c r="H179" s="13"/>
      <c r="I179" s="13"/>
      <c r="J179" s="13"/>
      <c r="K179" s="13"/>
    </row>
    <row r="180" spans="1:11" ht="20.100000000000001" customHeight="1" x14ac:dyDescent="0.25">
      <c r="A180" s="69"/>
      <c r="B180" s="45" t="s">
        <v>59</v>
      </c>
      <c r="C180" s="63"/>
      <c r="D180" s="83">
        <v>40</v>
      </c>
      <c r="E180" s="46">
        <f>IF(AND(C180="",D180=""),"",C180-D180)</f>
        <v>-40</v>
      </c>
      <c r="F180" s="13"/>
      <c r="G180" s="13"/>
      <c r="H180" s="13"/>
      <c r="I180" s="13"/>
      <c r="J180" s="13"/>
      <c r="K180" s="13"/>
    </row>
    <row r="181" spans="1:11" ht="20.100000000000001" customHeight="1" x14ac:dyDescent="0.25">
      <c r="A181" s="69"/>
      <c r="B181" s="51" t="s">
        <v>60</v>
      </c>
      <c r="C181" s="52"/>
      <c r="D181" s="75"/>
      <c r="E181" s="52"/>
      <c r="F181" s="13"/>
      <c r="G181" s="13"/>
      <c r="H181" s="13"/>
      <c r="I181" s="13"/>
      <c r="J181" s="13"/>
      <c r="K181" s="13"/>
    </row>
    <row r="182" spans="1:11" ht="20.100000000000001" customHeight="1" x14ac:dyDescent="0.25">
      <c r="A182" s="69"/>
      <c r="B182" s="43" t="s">
        <v>61</v>
      </c>
      <c r="C182" s="63"/>
      <c r="D182" s="83">
        <v>200</v>
      </c>
      <c r="E182" s="44">
        <f>IF(AND(C182="",D182=""),"",C182-D182)</f>
        <v>-200</v>
      </c>
      <c r="F182" s="13"/>
      <c r="G182" s="13"/>
      <c r="H182" s="13"/>
      <c r="I182" s="13"/>
      <c r="J182" s="13"/>
      <c r="K182" s="13"/>
    </row>
    <row r="183" spans="1:11" ht="20.100000000000001" customHeight="1" x14ac:dyDescent="0.25">
      <c r="A183" s="69"/>
      <c r="B183" s="45" t="s">
        <v>62</v>
      </c>
      <c r="C183" s="63"/>
      <c r="D183" s="83">
        <v>25</v>
      </c>
      <c r="E183" s="46">
        <f>IF(AND(C183="",D183=""),"",C183-D183)</f>
        <v>-25</v>
      </c>
      <c r="F183" s="13"/>
      <c r="G183" s="13"/>
      <c r="H183" s="13"/>
      <c r="I183" s="13"/>
      <c r="J183" s="13"/>
      <c r="K183" s="13"/>
    </row>
    <row r="184" spans="1:11" ht="20.100000000000001" customHeight="1" x14ac:dyDescent="0.25">
      <c r="A184" s="69"/>
      <c r="B184" s="43" t="s">
        <v>63</v>
      </c>
      <c r="C184" s="63"/>
      <c r="D184" s="83">
        <v>15</v>
      </c>
      <c r="E184" s="44">
        <f>IF(AND(C184="",D184=""),"",C184-D184)</f>
        <v>-15</v>
      </c>
      <c r="F184" s="13"/>
      <c r="G184" s="13"/>
      <c r="H184" s="13"/>
      <c r="I184" s="13"/>
      <c r="J184" s="13"/>
      <c r="K184" s="13"/>
    </row>
    <row r="185" spans="1:11" ht="20.100000000000001" customHeight="1" x14ac:dyDescent="0.25">
      <c r="A185" s="69"/>
      <c r="B185" s="51" t="s">
        <v>64</v>
      </c>
      <c r="C185" s="52"/>
      <c r="D185" s="75"/>
      <c r="E185" s="52"/>
      <c r="F185" s="13"/>
      <c r="G185" s="13"/>
      <c r="H185" s="13"/>
      <c r="I185" s="13"/>
      <c r="J185" s="13"/>
      <c r="K185" s="13"/>
    </row>
    <row r="186" spans="1:11" ht="20.100000000000001" customHeight="1" x14ac:dyDescent="0.25">
      <c r="A186" s="69"/>
      <c r="B186" s="43" t="s">
        <v>65</v>
      </c>
      <c r="C186" s="63"/>
      <c r="D186" s="83">
        <v>120</v>
      </c>
      <c r="E186" s="44">
        <f>IF(AND(C186="",D186=""),"",C186-D186)</f>
        <v>-120</v>
      </c>
      <c r="F186" s="13"/>
      <c r="G186" s="13"/>
      <c r="H186" s="13"/>
      <c r="I186" s="13"/>
      <c r="J186" s="13"/>
      <c r="K186" s="13"/>
    </row>
    <row r="187" spans="1:11" ht="20.100000000000001" customHeight="1" x14ac:dyDescent="0.25">
      <c r="A187" s="69"/>
      <c r="B187" s="45" t="s">
        <v>66</v>
      </c>
      <c r="C187" s="63"/>
      <c r="D187" s="83">
        <v>45</v>
      </c>
      <c r="E187" s="46">
        <f>IF(AND(C187="",D187=""),"",C187-D187)</f>
        <v>-45</v>
      </c>
      <c r="F187" s="13"/>
      <c r="G187" s="13"/>
      <c r="H187" s="13"/>
      <c r="I187" s="13"/>
      <c r="J187" s="13"/>
      <c r="K187" s="13"/>
    </row>
    <row r="188" spans="1:11" ht="20.100000000000001" customHeight="1" x14ac:dyDescent="0.25">
      <c r="A188" s="69"/>
      <c r="B188" s="43" t="s">
        <v>67</v>
      </c>
      <c r="C188" s="63"/>
      <c r="D188" s="83">
        <v>50</v>
      </c>
      <c r="E188" s="44">
        <f>IF(AND(C188="",D188=""),"",C188-D188)</f>
        <v>-50</v>
      </c>
      <c r="F188" s="13"/>
      <c r="G188" s="13"/>
      <c r="H188" s="13"/>
      <c r="I188" s="13"/>
      <c r="J188" s="13"/>
      <c r="K188" s="13"/>
    </row>
    <row r="189" spans="1:11" ht="20.100000000000001" customHeight="1" x14ac:dyDescent="0.25">
      <c r="A189" s="69"/>
      <c r="B189" s="51" t="s">
        <v>68</v>
      </c>
      <c r="C189" s="52"/>
      <c r="D189" s="75"/>
      <c r="E189" s="52"/>
      <c r="F189" s="13"/>
      <c r="G189" s="13"/>
      <c r="H189" s="13"/>
      <c r="I189" s="13"/>
      <c r="J189" s="13"/>
      <c r="K189" s="13"/>
    </row>
    <row r="190" spans="1:11" ht="20.100000000000001" customHeight="1" x14ac:dyDescent="0.25">
      <c r="A190" s="69"/>
      <c r="B190" s="43" t="s">
        <v>69</v>
      </c>
      <c r="C190" s="63"/>
      <c r="D190" s="83">
        <v>30</v>
      </c>
      <c r="E190" s="44">
        <f>IF(AND(C190="",D190=""),"",C190-D190)</f>
        <v>-30</v>
      </c>
      <c r="F190" s="13"/>
      <c r="G190" s="13"/>
      <c r="H190" s="13"/>
      <c r="I190" s="13"/>
      <c r="J190" s="13"/>
      <c r="K190" s="13"/>
    </row>
    <row r="191" spans="1:11" ht="20.100000000000001" customHeight="1" x14ac:dyDescent="0.25">
      <c r="A191" s="69"/>
      <c r="B191" s="45" t="s">
        <v>70</v>
      </c>
      <c r="C191" s="63"/>
      <c r="D191" s="83">
        <v>55</v>
      </c>
      <c r="E191" s="46">
        <f>IF(AND(C191="",D191=""),"",C191-D191)</f>
        <v>-55</v>
      </c>
      <c r="F191" s="13"/>
      <c r="G191" s="13"/>
      <c r="H191" s="13"/>
      <c r="I191" s="13"/>
      <c r="J191" s="13"/>
      <c r="K191" s="13"/>
    </row>
    <row r="192" spans="1:11" ht="20.100000000000001" customHeight="1" x14ac:dyDescent="0.25">
      <c r="A192" s="69"/>
      <c r="B192" s="43" t="s">
        <v>71</v>
      </c>
      <c r="C192" s="63"/>
      <c r="D192" s="83">
        <v>90</v>
      </c>
      <c r="E192" s="44">
        <f>IF(AND(C192="",D192=""),"",C192-D192)</f>
        <v>-90</v>
      </c>
      <c r="F192" s="13"/>
      <c r="G192" s="13"/>
      <c r="H192" s="13"/>
      <c r="I192" s="13"/>
      <c r="J192" s="13"/>
      <c r="K192" s="13"/>
    </row>
    <row r="193" spans="1:11" ht="20.100000000000001" customHeight="1" x14ac:dyDescent="0.25">
      <c r="A193" s="69"/>
      <c r="B193" s="51" t="s">
        <v>72</v>
      </c>
      <c r="C193" s="52"/>
      <c r="D193" s="75"/>
      <c r="E193" s="52"/>
      <c r="F193" s="13"/>
      <c r="G193" s="13"/>
      <c r="H193" s="13"/>
      <c r="I193" s="13"/>
      <c r="J193" s="13"/>
      <c r="K193" s="13"/>
    </row>
    <row r="194" spans="1:11" ht="20.100000000000001" customHeight="1" x14ac:dyDescent="0.25">
      <c r="A194" s="69"/>
      <c r="B194" s="43" t="s">
        <v>73</v>
      </c>
      <c r="C194" s="63"/>
      <c r="D194" s="83">
        <v>200</v>
      </c>
      <c r="E194" s="44">
        <f>IF(AND(C194="",D194=""),"",C194-D194)</f>
        <v>-200</v>
      </c>
      <c r="F194" s="13"/>
      <c r="G194" s="13"/>
      <c r="H194" s="13"/>
      <c r="I194" s="13"/>
      <c r="J194" s="13"/>
      <c r="K194" s="13"/>
    </row>
    <row r="195" spans="1:11" ht="20.100000000000001" customHeight="1" x14ac:dyDescent="0.25">
      <c r="A195" s="69"/>
      <c r="B195" s="45" t="s">
        <v>74</v>
      </c>
      <c r="C195" s="63"/>
      <c r="D195" s="83">
        <v>300</v>
      </c>
      <c r="E195" s="46">
        <f>IF(AND(C195="",D195=""),"",C195-D195)</f>
        <v>-300</v>
      </c>
      <c r="F195" s="13"/>
      <c r="G195" s="13"/>
      <c r="H195" s="13"/>
      <c r="I195" s="13"/>
      <c r="J195" s="13"/>
      <c r="K195" s="13"/>
    </row>
    <row r="196" spans="1:11" ht="20.100000000000001" customHeight="1" x14ac:dyDescent="0.25">
      <c r="A196" s="69"/>
      <c r="B196" s="43" t="s">
        <v>75</v>
      </c>
      <c r="C196" s="63"/>
      <c r="D196" s="83">
        <v>150</v>
      </c>
      <c r="E196" s="44">
        <f>IF(AND(C196="",D196=""),"",C196-D196)</f>
        <v>-150</v>
      </c>
      <c r="F196" s="13"/>
      <c r="G196" s="13"/>
      <c r="H196" s="13"/>
      <c r="I196" s="13"/>
      <c r="J196" s="13"/>
      <c r="K196" s="13"/>
    </row>
    <row r="197" spans="1:11" ht="20.100000000000001" customHeight="1" x14ac:dyDescent="0.25">
      <c r="A197" s="69"/>
      <c r="B197" s="51" t="s">
        <v>76</v>
      </c>
      <c r="C197" s="52"/>
      <c r="D197" s="75"/>
      <c r="E197" s="52"/>
      <c r="F197" s="13"/>
      <c r="G197" s="13"/>
      <c r="H197" s="13"/>
      <c r="I197" s="13"/>
      <c r="J197" s="13"/>
      <c r="K197" s="13"/>
    </row>
    <row r="198" spans="1:11" ht="20.100000000000001" customHeight="1" x14ac:dyDescent="0.25">
      <c r="A198" s="69"/>
      <c r="B198" s="43" t="s">
        <v>77</v>
      </c>
      <c r="C198" s="63"/>
      <c r="D198" s="83">
        <v>60</v>
      </c>
      <c r="E198" s="44">
        <f>IF(AND(C198="",D198=""),"",C198-D198)</f>
        <v>-60</v>
      </c>
      <c r="F198" s="13"/>
      <c r="G198" s="13"/>
      <c r="H198" s="13"/>
      <c r="I198" s="13"/>
      <c r="J198" s="13"/>
      <c r="K198" s="13"/>
    </row>
    <row r="199" spans="1:11" ht="20.100000000000001" customHeight="1" x14ac:dyDescent="0.25">
      <c r="A199" s="69"/>
      <c r="B199" s="45" t="s">
        <v>78</v>
      </c>
      <c r="C199" s="63"/>
      <c r="D199" s="83">
        <v>50</v>
      </c>
      <c r="E199" s="46">
        <f>IF(AND(C199="",D199=""),"",C199-D199)</f>
        <v>-50</v>
      </c>
      <c r="F199" s="13"/>
      <c r="G199" s="13"/>
      <c r="H199" s="13"/>
      <c r="I199" s="13"/>
      <c r="J199" s="13"/>
      <c r="K199" s="13"/>
    </row>
    <row r="200" spans="1:11" ht="20.100000000000001" customHeight="1" x14ac:dyDescent="0.25">
      <c r="A200" s="69"/>
      <c r="B200" s="43" t="s">
        <v>79</v>
      </c>
      <c r="C200" s="63"/>
      <c r="D200" s="83">
        <v>30</v>
      </c>
      <c r="E200" s="65">
        <f>IF(AND(C200="",D200=""),"",C200-D200)</f>
        <v>-30</v>
      </c>
      <c r="F200" s="13"/>
      <c r="G200" s="13"/>
      <c r="H200" s="13"/>
      <c r="I200" s="13"/>
      <c r="J200" s="13"/>
      <c r="K200" s="13"/>
    </row>
    <row r="201" spans="1:11" ht="24" customHeight="1" x14ac:dyDescent="0.25">
      <c r="A201" s="69"/>
      <c r="B201" s="53" t="s">
        <v>80</v>
      </c>
      <c r="C201" s="54">
        <f>C155+C156+C157+C158+C159+C161+C162+C163+C164+C165+C167+C168+C169+C171+C172+C173+C174+C175+C177+C178+C179+C180+C182+C183+C184+C186+C187+C188+C190+C191+C192+C194+C195+C196+C198+C199+C200</f>
        <v>0</v>
      </c>
      <c r="D201" s="64">
        <f>D155+D156+D157+D158+D159+D161+D162+D163+D164+D165+D167+D168+D169+D171+D172+D173+D174+D175+D177+D178+D179+D180+D182+D183+D184+D186+D187+D188+D190+D191+D192+D194+D195+D196+D198+D199+D200</f>
        <v>5650</v>
      </c>
      <c r="E201" s="103">
        <f>C201-D201</f>
        <v>-5650</v>
      </c>
      <c r="F201" s="13"/>
      <c r="G201" s="13"/>
      <c r="H201" s="13"/>
      <c r="I201" s="13"/>
      <c r="J201" s="13"/>
      <c r="K201" s="13"/>
    </row>
    <row r="202" spans="1:11" ht="6" customHeight="1" x14ac:dyDescent="0.25">
      <c r="A202" s="69"/>
      <c r="B202" s="68"/>
      <c r="C202" s="68"/>
      <c r="D202" s="68"/>
      <c r="E202" s="76"/>
      <c r="F202" s="13"/>
      <c r="G202" s="13"/>
      <c r="H202" s="13"/>
      <c r="I202" s="13"/>
      <c r="J202" s="13"/>
      <c r="K202" s="13"/>
    </row>
    <row r="203" spans="1:11" ht="24" customHeight="1" x14ac:dyDescent="0.25">
      <c r="A203" s="69"/>
      <c r="B203" s="55" t="s">
        <v>88</v>
      </c>
      <c r="C203" s="39"/>
      <c r="D203" s="70"/>
      <c r="E203" s="39"/>
      <c r="F203" s="13"/>
      <c r="G203" s="13"/>
      <c r="H203" s="13"/>
      <c r="I203" s="13"/>
      <c r="J203" s="13"/>
      <c r="K203" s="13"/>
    </row>
    <row r="204" spans="1:11" ht="21.95" customHeight="1" x14ac:dyDescent="0.25">
      <c r="A204" s="69"/>
      <c r="B204" s="56" t="s">
        <v>82</v>
      </c>
      <c r="C204" s="57">
        <f>C150</f>
        <v>0</v>
      </c>
      <c r="D204" s="84">
        <f>D150</f>
        <v>6160</v>
      </c>
      <c r="E204" s="58"/>
      <c r="F204" s="13"/>
      <c r="G204" s="13"/>
      <c r="H204" s="13"/>
      <c r="I204" s="13"/>
      <c r="J204" s="13"/>
      <c r="K204" s="13"/>
    </row>
    <row r="205" spans="1:11" ht="21.95" customHeight="1" x14ac:dyDescent="0.25">
      <c r="A205" s="69"/>
      <c r="B205" s="56" t="s">
        <v>83</v>
      </c>
      <c r="C205" s="57">
        <f>C201</f>
        <v>0</v>
      </c>
      <c r="D205" s="84">
        <f>D201</f>
        <v>5650</v>
      </c>
      <c r="E205" s="58"/>
      <c r="F205" s="13"/>
      <c r="G205" s="13"/>
      <c r="H205" s="13"/>
      <c r="I205" s="13"/>
      <c r="J205" s="13"/>
      <c r="K205" s="13"/>
    </row>
    <row r="206" spans="1:11" ht="21.95" customHeight="1" x14ac:dyDescent="0.25">
      <c r="A206" s="69"/>
      <c r="B206" s="59" t="s">
        <v>84</v>
      </c>
      <c r="C206" s="60">
        <f>C204-C205</f>
        <v>0</v>
      </c>
      <c r="D206" s="85">
        <f>D150-D201</f>
        <v>510</v>
      </c>
      <c r="E206" s="61"/>
      <c r="F206" s="13"/>
      <c r="G206" s="13"/>
      <c r="H206" s="13"/>
      <c r="I206" s="13"/>
      <c r="J206" s="13"/>
      <c r="K206" s="13"/>
    </row>
    <row r="207" spans="1:11" ht="21.95" customHeight="1" x14ac:dyDescent="0.25">
      <c r="A207" s="69"/>
      <c r="B207" s="78" t="s">
        <v>5</v>
      </c>
      <c r="C207" s="79" t="str">
        <f>IF(C204=0,"",1-C205/C204)</f>
        <v/>
      </c>
      <c r="D207" s="86">
        <f>IF(D150=0,"",1-D201/D150)</f>
        <v>8.279220779220775E-2</v>
      </c>
      <c r="E207" s="87"/>
      <c r="F207" s="13"/>
      <c r="G207" s="13"/>
      <c r="H207" s="13"/>
      <c r="I207" s="13"/>
      <c r="J207" s="13"/>
      <c r="K207" s="13"/>
    </row>
    <row r="208" spans="1:11" ht="6" customHeight="1" x14ac:dyDescent="0.25">
      <c r="A208" s="69"/>
      <c r="B208" s="69"/>
      <c r="C208" s="69"/>
      <c r="D208" s="69"/>
      <c r="E208" s="77"/>
      <c r="F208" s="13"/>
      <c r="G208" s="13"/>
      <c r="H208" s="13"/>
      <c r="I208" s="13"/>
      <c r="J208" s="13"/>
      <c r="K208" s="13"/>
    </row>
    <row r="209" spans="1:11" ht="6" customHeight="1" x14ac:dyDescent="0.25">
      <c r="A209" s="69"/>
      <c r="B209" s="69"/>
      <c r="C209" s="69"/>
      <c r="D209" s="69"/>
      <c r="E209" s="77"/>
      <c r="F209" s="13"/>
      <c r="G209" s="13"/>
      <c r="H209" s="13"/>
      <c r="I209" s="13"/>
      <c r="J209" s="13"/>
      <c r="K209" s="13"/>
    </row>
    <row r="210" spans="1:11" ht="6" customHeight="1" x14ac:dyDescent="0.25">
      <c r="A210" s="69"/>
      <c r="B210" s="69"/>
      <c r="C210" s="69"/>
      <c r="D210" s="69"/>
      <c r="E210" s="77"/>
      <c r="F210" s="13"/>
      <c r="G210" s="13"/>
      <c r="H210" s="13"/>
      <c r="I210" s="13"/>
      <c r="J210" s="13"/>
      <c r="K210" s="13"/>
    </row>
    <row r="211" spans="1:11" ht="32.1" customHeight="1" x14ac:dyDescent="0.25">
      <c r="A211" s="69"/>
      <c r="B211" s="80" t="s">
        <v>89</v>
      </c>
      <c r="C211" s="81"/>
      <c r="D211" s="82"/>
      <c r="E211" s="81"/>
      <c r="F211" s="13"/>
      <c r="G211" s="13"/>
      <c r="H211" s="13"/>
      <c r="I211" s="13"/>
      <c r="J211" s="13"/>
      <c r="K211" s="13"/>
    </row>
    <row r="212" spans="1:11" ht="6" customHeight="1" x14ac:dyDescent="0.25">
      <c r="A212" s="69"/>
      <c r="B212" s="37"/>
      <c r="C212" s="37"/>
      <c r="D212" s="37"/>
      <c r="E212" s="66"/>
      <c r="F212" s="13"/>
      <c r="G212" s="13"/>
      <c r="H212" s="13"/>
      <c r="I212" s="13"/>
      <c r="J212" s="13"/>
      <c r="K212" s="13"/>
    </row>
    <row r="213" spans="1:11" ht="24" customHeight="1" x14ac:dyDescent="0.25">
      <c r="A213" s="69"/>
      <c r="B213" s="40" t="s">
        <v>22</v>
      </c>
      <c r="C213" s="41"/>
      <c r="D213" s="71"/>
      <c r="E213" s="41"/>
      <c r="F213" s="13"/>
      <c r="G213" s="13"/>
      <c r="H213" s="13"/>
      <c r="I213" s="13"/>
      <c r="J213" s="13"/>
      <c r="K213" s="13"/>
    </row>
    <row r="214" spans="1:11" ht="21.95" customHeight="1" x14ac:dyDescent="0.25">
      <c r="A214" s="69"/>
      <c r="B214" s="42" t="s">
        <v>20</v>
      </c>
      <c r="C214" s="42" t="s">
        <v>23</v>
      </c>
      <c r="D214" s="72" t="s">
        <v>24</v>
      </c>
      <c r="E214" s="42" t="s">
        <v>25</v>
      </c>
      <c r="F214" s="13"/>
      <c r="G214" s="13"/>
      <c r="H214" s="13"/>
      <c r="I214" s="13"/>
      <c r="J214" s="13"/>
      <c r="K214" s="13"/>
    </row>
    <row r="215" spans="1:11" ht="20.100000000000001" customHeight="1" x14ac:dyDescent="0.25">
      <c r="A215" s="69"/>
      <c r="B215" s="43" t="s">
        <v>26</v>
      </c>
      <c r="C215" s="63"/>
      <c r="D215" s="83"/>
      <c r="E215" s="44" t="str">
        <f>IF(AND(C215="",D215=""),"",D215-C215)</f>
        <v/>
      </c>
      <c r="F215" s="13"/>
      <c r="G215" s="13"/>
      <c r="H215" s="13"/>
      <c r="I215" s="13"/>
      <c r="J215" s="13"/>
      <c r="K215" s="13"/>
    </row>
    <row r="216" spans="1:11" ht="20.100000000000001" customHeight="1" x14ac:dyDescent="0.25">
      <c r="A216" s="69"/>
      <c r="B216" s="45" t="s">
        <v>27</v>
      </c>
      <c r="C216" s="63"/>
      <c r="D216" s="83"/>
      <c r="E216" s="46" t="str">
        <f>IF(AND(C216="",D216=""),"",D216-C216)</f>
        <v/>
      </c>
      <c r="F216" s="13"/>
      <c r="G216" s="13"/>
      <c r="H216" s="13"/>
      <c r="I216" s="13"/>
      <c r="J216" s="13"/>
      <c r="K216" s="13"/>
    </row>
    <row r="217" spans="1:11" ht="20.100000000000001" customHeight="1" x14ac:dyDescent="0.25">
      <c r="A217" s="69"/>
      <c r="B217" s="43" t="s">
        <v>28</v>
      </c>
      <c r="C217" s="63"/>
      <c r="D217" s="83"/>
      <c r="E217" s="44" t="str">
        <f>IF(AND(C217="",D217=""),"",D217-C217)</f>
        <v/>
      </c>
      <c r="F217" s="13"/>
      <c r="G217" s="13"/>
      <c r="H217" s="13"/>
      <c r="I217" s="13"/>
      <c r="J217" s="13"/>
      <c r="K217" s="13"/>
    </row>
    <row r="218" spans="1:11" ht="20.100000000000001" customHeight="1" x14ac:dyDescent="0.25">
      <c r="A218" s="69"/>
      <c r="B218" s="45" t="s">
        <v>29</v>
      </c>
      <c r="C218" s="63"/>
      <c r="D218" s="83"/>
      <c r="E218" s="46" t="str">
        <f>IF(AND(C218="",D218=""),"",D218-C218)</f>
        <v/>
      </c>
      <c r="F218" s="13"/>
      <c r="G218" s="13"/>
      <c r="H218" s="13"/>
      <c r="I218" s="13"/>
      <c r="J218" s="13"/>
      <c r="K218" s="13"/>
    </row>
    <row r="219" spans="1:11" ht="20.100000000000001" customHeight="1" x14ac:dyDescent="0.25">
      <c r="A219" s="69"/>
      <c r="B219" s="43" t="s">
        <v>30</v>
      </c>
      <c r="C219" s="63"/>
      <c r="D219" s="83"/>
      <c r="E219" s="44" t="str">
        <f>IF(AND(C219="",D219=""),"",D219-C219)</f>
        <v/>
      </c>
      <c r="F219" s="13"/>
      <c r="G219" s="13"/>
      <c r="H219" s="13"/>
      <c r="I219" s="13"/>
      <c r="J219" s="13"/>
      <c r="K219" s="13"/>
    </row>
    <row r="220" spans="1:11" ht="24" customHeight="1" x14ac:dyDescent="0.25">
      <c r="A220" s="69"/>
      <c r="B220" s="47" t="s">
        <v>31</v>
      </c>
      <c r="C220" s="48">
        <f>SUM(C215:C219)</f>
        <v>0</v>
      </c>
      <c r="D220" s="73">
        <f>SUM(D215:D219)</f>
        <v>0</v>
      </c>
      <c r="E220" s="48">
        <f>D220-C220</f>
        <v>0</v>
      </c>
      <c r="F220" s="13"/>
      <c r="G220" s="13"/>
      <c r="H220" s="13"/>
      <c r="I220" s="13"/>
      <c r="J220" s="13"/>
      <c r="K220" s="13"/>
    </row>
    <row r="221" spans="1:11" ht="6" customHeight="1" x14ac:dyDescent="0.25">
      <c r="A221" s="69"/>
      <c r="B221" s="68"/>
      <c r="C221" s="68"/>
      <c r="D221" s="68"/>
      <c r="E221" s="76"/>
      <c r="F221" s="13"/>
      <c r="G221" s="13"/>
      <c r="H221" s="13"/>
      <c r="I221" s="13"/>
      <c r="J221" s="13"/>
      <c r="K221" s="13"/>
    </row>
    <row r="222" spans="1:11" ht="24" customHeight="1" x14ac:dyDescent="0.25">
      <c r="A222" s="69"/>
      <c r="B222" s="49" t="s">
        <v>32</v>
      </c>
      <c r="C222" s="50"/>
      <c r="D222" s="74"/>
      <c r="E222" s="50"/>
      <c r="F222" s="13"/>
      <c r="G222" s="13"/>
      <c r="H222" s="13"/>
      <c r="I222" s="13"/>
      <c r="J222" s="13"/>
      <c r="K222" s="13"/>
    </row>
    <row r="223" spans="1:11" ht="21.95" customHeight="1" x14ac:dyDescent="0.25">
      <c r="A223" s="69"/>
      <c r="B223" s="42" t="s">
        <v>20</v>
      </c>
      <c r="C223" s="42" t="s">
        <v>23</v>
      </c>
      <c r="D223" s="72" t="s">
        <v>24</v>
      </c>
      <c r="E223" s="42" t="s">
        <v>25</v>
      </c>
      <c r="F223" s="13"/>
      <c r="G223" s="13"/>
      <c r="H223" s="13"/>
      <c r="I223" s="13"/>
      <c r="J223" s="13"/>
      <c r="K223" s="13"/>
    </row>
    <row r="224" spans="1:11" ht="20.100000000000001" customHeight="1" x14ac:dyDescent="0.25">
      <c r="A224" s="69"/>
      <c r="B224" s="51" t="s">
        <v>33</v>
      </c>
      <c r="C224" s="52"/>
      <c r="D224" s="75"/>
      <c r="E224" s="52"/>
      <c r="F224" s="13"/>
      <c r="G224" s="13"/>
      <c r="H224" s="13"/>
      <c r="I224" s="13"/>
      <c r="J224" s="13"/>
      <c r="K224" s="13"/>
    </row>
    <row r="225" spans="1:11" ht="20.100000000000001" customHeight="1" x14ac:dyDescent="0.25">
      <c r="A225" s="69"/>
      <c r="B225" s="43" t="s">
        <v>34</v>
      </c>
      <c r="C225" s="63"/>
      <c r="D225" s="83"/>
      <c r="E225" s="44" t="str">
        <f>IF(AND(C225="",D225=""),"",C225-D225)</f>
        <v/>
      </c>
      <c r="F225" s="13"/>
      <c r="G225" s="13"/>
      <c r="H225" s="13"/>
      <c r="I225" s="13"/>
      <c r="J225" s="13"/>
      <c r="K225" s="13"/>
    </row>
    <row r="226" spans="1:11" ht="20.100000000000001" customHeight="1" x14ac:dyDescent="0.25">
      <c r="A226" s="69"/>
      <c r="B226" s="45" t="s">
        <v>35</v>
      </c>
      <c r="C226" s="63"/>
      <c r="D226" s="83"/>
      <c r="E226" s="46" t="str">
        <f>IF(AND(C226="",D226=""),"",C226-D226)</f>
        <v/>
      </c>
      <c r="F226" s="13"/>
      <c r="G226" s="13"/>
      <c r="H226" s="13"/>
      <c r="I226" s="13"/>
      <c r="J226" s="13"/>
      <c r="K226" s="13"/>
    </row>
    <row r="227" spans="1:11" ht="20.100000000000001" customHeight="1" x14ac:dyDescent="0.25">
      <c r="A227" s="69"/>
      <c r="B227" s="43" t="s">
        <v>36</v>
      </c>
      <c r="C227" s="63"/>
      <c r="D227" s="83"/>
      <c r="E227" s="44" t="str">
        <f>IF(AND(C227="",D227=""),"",C227-D227)</f>
        <v/>
      </c>
      <c r="F227" s="13"/>
      <c r="G227" s="13"/>
      <c r="H227" s="13"/>
      <c r="I227" s="13"/>
      <c r="J227" s="13"/>
      <c r="K227" s="13"/>
    </row>
    <row r="228" spans="1:11" ht="20.100000000000001" customHeight="1" x14ac:dyDescent="0.25">
      <c r="A228" s="69"/>
      <c r="B228" s="45" t="s">
        <v>37</v>
      </c>
      <c r="C228" s="63"/>
      <c r="D228" s="83"/>
      <c r="E228" s="46" t="str">
        <f>IF(AND(C228="",D228=""),"",C228-D228)</f>
        <v/>
      </c>
      <c r="F228" s="13"/>
      <c r="G228" s="13"/>
      <c r="H228" s="13"/>
      <c r="I228" s="13"/>
      <c r="J228" s="13"/>
      <c r="K228" s="13"/>
    </row>
    <row r="229" spans="1:11" ht="20.100000000000001" customHeight="1" x14ac:dyDescent="0.25">
      <c r="A229" s="69"/>
      <c r="B229" s="43" t="s">
        <v>38</v>
      </c>
      <c r="C229" s="63"/>
      <c r="D229" s="83"/>
      <c r="E229" s="44" t="str">
        <f>IF(AND(C229="",D229=""),"",C229-D229)</f>
        <v/>
      </c>
      <c r="F229" s="13"/>
      <c r="G229" s="13"/>
      <c r="H229" s="13"/>
      <c r="I229" s="13"/>
      <c r="J229" s="13"/>
      <c r="K229" s="13"/>
    </row>
    <row r="230" spans="1:11" ht="20.100000000000001" customHeight="1" x14ac:dyDescent="0.25">
      <c r="A230" s="69"/>
      <c r="B230" s="51" t="s">
        <v>39</v>
      </c>
      <c r="C230" s="52"/>
      <c r="D230" s="75"/>
      <c r="E230" s="52"/>
      <c r="F230" s="13"/>
      <c r="G230" s="13"/>
      <c r="H230" s="13"/>
      <c r="I230" s="13"/>
      <c r="J230" s="13"/>
      <c r="K230" s="13"/>
    </row>
    <row r="231" spans="1:11" ht="20.100000000000001" customHeight="1" x14ac:dyDescent="0.25">
      <c r="A231" s="69"/>
      <c r="B231" s="43" t="s">
        <v>40</v>
      </c>
      <c r="C231" s="63"/>
      <c r="D231" s="83"/>
      <c r="E231" s="44" t="str">
        <f>IF(AND(C231="",D231=""),"",C231-D231)</f>
        <v/>
      </c>
      <c r="F231" s="13"/>
      <c r="G231" s="13"/>
      <c r="H231" s="13"/>
      <c r="I231" s="13"/>
      <c r="J231" s="13"/>
      <c r="K231" s="13"/>
    </row>
    <row r="232" spans="1:11" ht="20.100000000000001" customHeight="1" x14ac:dyDescent="0.25">
      <c r="A232" s="69"/>
      <c r="B232" s="45" t="s">
        <v>41</v>
      </c>
      <c r="C232" s="63"/>
      <c r="D232" s="83"/>
      <c r="E232" s="46" t="str">
        <f>IF(AND(C232="",D232=""),"",C232-D232)</f>
        <v/>
      </c>
      <c r="F232" s="13"/>
      <c r="G232" s="13"/>
      <c r="H232" s="13"/>
      <c r="I232" s="13"/>
      <c r="J232" s="13"/>
      <c r="K232" s="13"/>
    </row>
    <row r="233" spans="1:11" ht="20.100000000000001" customHeight="1" x14ac:dyDescent="0.25">
      <c r="A233" s="69"/>
      <c r="B233" s="43" t="s">
        <v>42</v>
      </c>
      <c r="C233" s="63"/>
      <c r="D233" s="83"/>
      <c r="E233" s="44" t="str">
        <f>IF(AND(C233="",D233=""),"",C233-D233)</f>
        <v/>
      </c>
      <c r="F233" s="13"/>
      <c r="G233" s="13"/>
      <c r="H233" s="13"/>
      <c r="I233" s="13"/>
      <c r="J233" s="13"/>
      <c r="K233" s="13"/>
    </row>
    <row r="234" spans="1:11" ht="20.100000000000001" customHeight="1" x14ac:dyDescent="0.25">
      <c r="A234" s="69"/>
      <c r="B234" s="45" t="s">
        <v>43</v>
      </c>
      <c r="C234" s="63"/>
      <c r="D234" s="83"/>
      <c r="E234" s="46" t="str">
        <f>IF(AND(C234="",D234=""),"",C234-D234)</f>
        <v/>
      </c>
      <c r="F234" s="13"/>
      <c r="G234" s="13"/>
      <c r="H234" s="13"/>
      <c r="I234" s="13"/>
      <c r="J234" s="13"/>
      <c r="K234" s="13"/>
    </row>
    <row r="235" spans="1:11" ht="20.100000000000001" customHeight="1" x14ac:dyDescent="0.25">
      <c r="A235" s="69"/>
      <c r="B235" s="43" t="s">
        <v>44</v>
      </c>
      <c r="C235" s="63"/>
      <c r="D235" s="83"/>
      <c r="E235" s="44" t="str">
        <f>IF(AND(C235="",D235=""),"",C235-D235)</f>
        <v/>
      </c>
      <c r="F235" s="13"/>
      <c r="G235" s="13"/>
      <c r="H235" s="13"/>
      <c r="I235" s="13"/>
      <c r="J235" s="13"/>
      <c r="K235" s="13"/>
    </row>
    <row r="236" spans="1:11" ht="20.100000000000001" customHeight="1" x14ac:dyDescent="0.25">
      <c r="A236" s="69"/>
      <c r="B236" s="51" t="s">
        <v>45</v>
      </c>
      <c r="C236" s="52"/>
      <c r="D236" s="75"/>
      <c r="E236" s="52"/>
      <c r="F236" s="13"/>
      <c r="G236" s="13"/>
      <c r="H236" s="13"/>
      <c r="I236" s="13"/>
      <c r="J236" s="13"/>
      <c r="K236" s="13"/>
    </row>
    <row r="237" spans="1:11" ht="20.100000000000001" customHeight="1" x14ac:dyDescent="0.25">
      <c r="A237" s="69"/>
      <c r="B237" s="43" t="s">
        <v>46</v>
      </c>
      <c r="C237" s="63"/>
      <c r="D237" s="83"/>
      <c r="E237" s="44" t="str">
        <f>IF(AND(C237="",D237=""),"",C237-D237)</f>
        <v/>
      </c>
      <c r="F237" s="13"/>
      <c r="G237" s="13"/>
      <c r="H237" s="13"/>
      <c r="I237" s="13"/>
      <c r="J237" s="13"/>
      <c r="K237" s="13"/>
    </row>
    <row r="238" spans="1:11" ht="20.100000000000001" customHeight="1" x14ac:dyDescent="0.25">
      <c r="A238" s="69"/>
      <c r="B238" s="45" t="s">
        <v>47</v>
      </c>
      <c r="C238" s="63"/>
      <c r="D238" s="83"/>
      <c r="E238" s="46" t="str">
        <f>IF(AND(C238="",D238=""),"",C238-D238)</f>
        <v/>
      </c>
      <c r="F238" s="13"/>
      <c r="G238" s="13"/>
      <c r="H238" s="13"/>
      <c r="I238" s="13"/>
      <c r="J238" s="13"/>
      <c r="K238" s="13"/>
    </row>
    <row r="239" spans="1:11" ht="20.100000000000001" customHeight="1" x14ac:dyDescent="0.25">
      <c r="A239" s="69"/>
      <c r="B239" s="43" t="s">
        <v>48</v>
      </c>
      <c r="C239" s="63"/>
      <c r="D239" s="83"/>
      <c r="E239" s="44" t="str">
        <f>IF(AND(C239="",D239=""),"",C239-D239)</f>
        <v/>
      </c>
      <c r="F239" s="13"/>
      <c r="G239" s="13"/>
      <c r="H239" s="13"/>
      <c r="I239" s="13"/>
      <c r="J239" s="13"/>
      <c r="K239" s="13"/>
    </row>
    <row r="240" spans="1:11" ht="20.100000000000001" customHeight="1" x14ac:dyDescent="0.25">
      <c r="A240" s="69"/>
      <c r="B240" s="51" t="s">
        <v>49</v>
      </c>
      <c r="C240" s="52"/>
      <c r="D240" s="75"/>
      <c r="E240" s="52"/>
      <c r="F240" s="13"/>
      <c r="G240" s="13"/>
      <c r="H240" s="13"/>
      <c r="I240" s="13"/>
      <c r="J240" s="13"/>
      <c r="K240" s="13"/>
    </row>
    <row r="241" spans="1:11" ht="20.100000000000001" customHeight="1" x14ac:dyDescent="0.25">
      <c r="A241" s="69"/>
      <c r="B241" s="43" t="s">
        <v>50</v>
      </c>
      <c r="C241" s="63"/>
      <c r="D241" s="83"/>
      <c r="E241" s="44" t="str">
        <f>IF(AND(C241="",D241=""),"",C241-D241)</f>
        <v/>
      </c>
      <c r="F241" s="13"/>
      <c r="G241" s="13"/>
      <c r="H241" s="13"/>
      <c r="I241" s="13"/>
      <c r="J241" s="13"/>
      <c r="K241" s="13"/>
    </row>
    <row r="242" spans="1:11" ht="20.100000000000001" customHeight="1" x14ac:dyDescent="0.25">
      <c r="A242" s="69"/>
      <c r="B242" s="45" t="s">
        <v>51</v>
      </c>
      <c r="C242" s="63"/>
      <c r="D242" s="83"/>
      <c r="E242" s="46" t="str">
        <f>IF(AND(C242="",D242=""),"",C242-D242)</f>
        <v/>
      </c>
      <c r="F242" s="13"/>
      <c r="G242" s="13"/>
      <c r="H242" s="13"/>
      <c r="I242" s="13"/>
      <c r="J242" s="13"/>
      <c r="K242" s="13"/>
    </row>
    <row r="243" spans="1:11" ht="20.100000000000001" customHeight="1" x14ac:dyDescent="0.25">
      <c r="A243" s="69"/>
      <c r="B243" s="43" t="s">
        <v>52</v>
      </c>
      <c r="C243" s="63"/>
      <c r="D243" s="83"/>
      <c r="E243" s="44" t="str">
        <f>IF(AND(C243="",D243=""),"",C243-D243)</f>
        <v/>
      </c>
      <c r="F243" s="13"/>
      <c r="G243" s="13"/>
      <c r="H243" s="13"/>
      <c r="I243" s="13"/>
      <c r="J243" s="13"/>
      <c r="K243" s="13"/>
    </row>
    <row r="244" spans="1:11" ht="20.100000000000001" customHeight="1" x14ac:dyDescent="0.25">
      <c r="A244" s="69"/>
      <c r="B244" s="45" t="s">
        <v>53</v>
      </c>
      <c r="C244" s="63"/>
      <c r="D244" s="83"/>
      <c r="E244" s="46" t="str">
        <f>IF(AND(C244="",D244=""),"",C244-D244)</f>
        <v/>
      </c>
      <c r="F244" s="13"/>
      <c r="G244" s="13"/>
      <c r="H244" s="13"/>
      <c r="I244" s="13"/>
      <c r="J244" s="13"/>
      <c r="K244" s="13"/>
    </row>
    <row r="245" spans="1:11" ht="20.100000000000001" customHeight="1" x14ac:dyDescent="0.25">
      <c r="A245" s="69"/>
      <c r="B245" s="43" t="s">
        <v>54</v>
      </c>
      <c r="C245" s="63"/>
      <c r="D245" s="83"/>
      <c r="E245" s="44" t="str">
        <f>IF(AND(C245="",D245=""),"",C245-D245)</f>
        <v/>
      </c>
      <c r="F245" s="13"/>
      <c r="G245" s="13"/>
      <c r="H245" s="13"/>
      <c r="I245" s="13"/>
      <c r="J245" s="13"/>
      <c r="K245" s="13"/>
    </row>
    <row r="246" spans="1:11" ht="20.100000000000001" customHeight="1" x14ac:dyDescent="0.25">
      <c r="A246" s="69"/>
      <c r="B246" s="51" t="s">
        <v>55</v>
      </c>
      <c r="C246" s="52"/>
      <c r="D246" s="75"/>
      <c r="E246" s="52"/>
      <c r="F246" s="13"/>
      <c r="G246" s="13"/>
      <c r="H246" s="13"/>
      <c r="I246" s="13"/>
      <c r="J246" s="13"/>
      <c r="K246" s="13"/>
    </row>
    <row r="247" spans="1:11" ht="20.100000000000001" customHeight="1" x14ac:dyDescent="0.25">
      <c r="A247" s="69"/>
      <c r="B247" s="43" t="s">
        <v>56</v>
      </c>
      <c r="C247" s="63"/>
      <c r="D247" s="83"/>
      <c r="E247" s="44" t="str">
        <f>IF(AND(C247="",D247=""),"",C247-D247)</f>
        <v/>
      </c>
      <c r="F247" s="13"/>
      <c r="G247" s="13"/>
      <c r="H247" s="13"/>
      <c r="I247" s="13"/>
      <c r="J247" s="13"/>
      <c r="K247" s="13"/>
    </row>
    <row r="248" spans="1:11" ht="20.100000000000001" customHeight="1" x14ac:dyDescent="0.25">
      <c r="A248" s="69"/>
      <c r="B248" s="45" t="s">
        <v>57</v>
      </c>
      <c r="C248" s="63"/>
      <c r="D248" s="83"/>
      <c r="E248" s="46" t="str">
        <f>IF(AND(C248="",D248=""),"",C248-D248)</f>
        <v/>
      </c>
      <c r="F248" s="13"/>
      <c r="G248" s="13"/>
      <c r="H248" s="13"/>
      <c r="I248" s="13"/>
      <c r="J248" s="13"/>
      <c r="K248" s="13"/>
    </row>
    <row r="249" spans="1:11" ht="20.100000000000001" customHeight="1" x14ac:dyDescent="0.25">
      <c r="A249" s="69"/>
      <c r="B249" s="43" t="s">
        <v>58</v>
      </c>
      <c r="C249" s="63"/>
      <c r="D249" s="83"/>
      <c r="E249" s="44" t="str">
        <f>IF(AND(C249="",D249=""),"",C249-D249)</f>
        <v/>
      </c>
      <c r="F249" s="13"/>
      <c r="G249" s="13"/>
      <c r="H249" s="13"/>
      <c r="I249" s="13"/>
      <c r="J249" s="13"/>
      <c r="K249" s="13"/>
    </row>
    <row r="250" spans="1:11" ht="20.100000000000001" customHeight="1" x14ac:dyDescent="0.25">
      <c r="A250" s="69"/>
      <c r="B250" s="45" t="s">
        <v>59</v>
      </c>
      <c r="C250" s="63"/>
      <c r="D250" s="83"/>
      <c r="E250" s="46" t="str">
        <f>IF(AND(C250="",D250=""),"",C250-D250)</f>
        <v/>
      </c>
      <c r="F250" s="13"/>
      <c r="G250" s="13"/>
      <c r="H250" s="13"/>
      <c r="I250" s="13"/>
      <c r="J250" s="13"/>
      <c r="K250" s="13"/>
    </row>
    <row r="251" spans="1:11" ht="20.100000000000001" customHeight="1" x14ac:dyDescent="0.25">
      <c r="A251" s="69"/>
      <c r="B251" s="51" t="s">
        <v>60</v>
      </c>
      <c r="C251" s="52"/>
      <c r="D251" s="75"/>
      <c r="E251" s="52"/>
      <c r="F251" s="13"/>
      <c r="G251" s="13"/>
      <c r="H251" s="13"/>
      <c r="I251" s="13"/>
      <c r="J251" s="13"/>
      <c r="K251" s="13"/>
    </row>
    <row r="252" spans="1:11" ht="20.100000000000001" customHeight="1" x14ac:dyDescent="0.25">
      <c r="A252" s="69"/>
      <c r="B252" s="43" t="s">
        <v>61</v>
      </c>
      <c r="C252" s="63"/>
      <c r="D252" s="83"/>
      <c r="E252" s="44" t="str">
        <f>IF(AND(C252="",D252=""),"",C252-D252)</f>
        <v/>
      </c>
      <c r="F252" s="13"/>
      <c r="G252" s="13"/>
      <c r="H252" s="13"/>
      <c r="I252" s="13"/>
      <c r="J252" s="13"/>
      <c r="K252" s="13"/>
    </row>
    <row r="253" spans="1:11" ht="20.100000000000001" customHeight="1" x14ac:dyDescent="0.25">
      <c r="A253" s="69"/>
      <c r="B253" s="45" t="s">
        <v>62</v>
      </c>
      <c r="C253" s="63"/>
      <c r="D253" s="83"/>
      <c r="E253" s="46" t="str">
        <f>IF(AND(C253="",D253=""),"",C253-D253)</f>
        <v/>
      </c>
      <c r="F253" s="13"/>
      <c r="G253" s="13"/>
      <c r="H253" s="13"/>
      <c r="I253" s="13"/>
      <c r="J253" s="13"/>
      <c r="K253" s="13"/>
    </row>
    <row r="254" spans="1:11" ht="20.100000000000001" customHeight="1" x14ac:dyDescent="0.25">
      <c r="A254" s="69"/>
      <c r="B254" s="43" t="s">
        <v>63</v>
      </c>
      <c r="C254" s="63"/>
      <c r="D254" s="83"/>
      <c r="E254" s="44" t="str">
        <f>IF(AND(C254="",D254=""),"",C254-D254)</f>
        <v/>
      </c>
      <c r="F254" s="13"/>
      <c r="G254" s="13"/>
      <c r="H254" s="13"/>
      <c r="I254" s="13"/>
      <c r="J254" s="13"/>
      <c r="K254" s="13"/>
    </row>
    <row r="255" spans="1:11" ht="20.100000000000001" customHeight="1" x14ac:dyDescent="0.25">
      <c r="A255" s="69"/>
      <c r="B255" s="51" t="s">
        <v>64</v>
      </c>
      <c r="C255" s="52"/>
      <c r="D255" s="75"/>
      <c r="E255" s="52"/>
      <c r="F255" s="13"/>
      <c r="G255" s="13"/>
      <c r="H255" s="13"/>
      <c r="I255" s="13"/>
      <c r="J255" s="13"/>
      <c r="K255" s="13"/>
    </row>
    <row r="256" spans="1:11" ht="20.100000000000001" customHeight="1" x14ac:dyDescent="0.25">
      <c r="A256" s="69"/>
      <c r="B256" s="43" t="s">
        <v>65</v>
      </c>
      <c r="C256" s="63"/>
      <c r="D256" s="83"/>
      <c r="E256" s="44" t="str">
        <f>IF(AND(C256="",D256=""),"",C256-D256)</f>
        <v/>
      </c>
      <c r="F256" s="13"/>
      <c r="G256" s="13"/>
      <c r="H256" s="13"/>
      <c r="I256" s="13"/>
      <c r="J256" s="13"/>
      <c r="K256" s="13"/>
    </row>
    <row r="257" spans="1:11" ht="20.100000000000001" customHeight="1" x14ac:dyDescent="0.25">
      <c r="A257" s="69"/>
      <c r="B257" s="45" t="s">
        <v>66</v>
      </c>
      <c r="C257" s="63"/>
      <c r="D257" s="83"/>
      <c r="E257" s="46" t="str">
        <f>IF(AND(C257="",D257=""),"",C257-D257)</f>
        <v/>
      </c>
      <c r="F257" s="13"/>
      <c r="G257" s="13"/>
      <c r="H257" s="13"/>
      <c r="I257" s="13"/>
      <c r="J257" s="13"/>
      <c r="K257" s="13"/>
    </row>
    <row r="258" spans="1:11" ht="20.100000000000001" customHeight="1" x14ac:dyDescent="0.25">
      <c r="A258" s="69"/>
      <c r="B258" s="43" t="s">
        <v>67</v>
      </c>
      <c r="C258" s="63"/>
      <c r="D258" s="83"/>
      <c r="E258" s="44" t="str">
        <f>IF(AND(C258="",D258=""),"",C258-D258)</f>
        <v/>
      </c>
      <c r="F258" s="13"/>
      <c r="G258" s="13"/>
      <c r="H258" s="13"/>
      <c r="I258" s="13"/>
      <c r="J258" s="13"/>
      <c r="K258" s="13"/>
    </row>
    <row r="259" spans="1:11" ht="20.100000000000001" customHeight="1" x14ac:dyDescent="0.25">
      <c r="A259" s="69"/>
      <c r="B259" s="51" t="s">
        <v>68</v>
      </c>
      <c r="C259" s="52"/>
      <c r="D259" s="75"/>
      <c r="E259" s="52"/>
      <c r="F259" s="13"/>
      <c r="G259" s="13"/>
      <c r="H259" s="13"/>
      <c r="I259" s="13"/>
      <c r="J259" s="13"/>
      <c r="K259" s="13"/>
    </row>
    <row r="260" spans="1:11" ht="20.100000000000001" customHeight="1" x14ac:dyDescent="0.25">
      <c r="A260" s="69"/>
      <c r="B260" s="43" t="s">
        <v>69</v>
      </c>
      <c r="C260" s="63"/>
      <c r="D260" s="83"/>
      <c r="E260" s="44" t="str">
        <f>IF(AND(C260="",D260=""),"",C260-D260)</f>
        <v/>
      </c>
      <c r="F260" s="13"/>
      <c r="G260" s="13"/>
      <c r="H260" s="13"/>
      <c r="I260" s="13"/>
      <c r="J260" s="13"/>
      <c r="K260" s="13"/>
    </row>
    <row r="261" spans="1:11" ht="20.100000000000001" customHeight="1" x14ac:dyDescent="0.25">
      <c r="A261" s="69"/>
      <c r="B261" s="45" t="s">
        <v>70</v>
      </c>
      <c r="C261" s="63"/>
      <c r="D261" s="83"/>
      <c r="E261" s="46" t="str">
        <f>IF(AND(C261="",D261=""),"",C261-D261)</f>
        <v/>
      </c>
      <c r="F261" s="13"/>
      <c r="G261" s="13"/>
      <c r="H261" s="13"/>
      <c r="I261" s="13"/>
      <c r="J261" s="13"/>
      <c r="K261" s="13"/>
    </row>
    <row r="262" spans="1:11" ht="20.100000000000001" customHeight="1" x14ac:dyDescent="0.25">
      <c r="A262" s="69"/>
      <c r="B262" s="43" t="s">
        <v>71</v>
      </c>
      <c r="C262" s="63"/>
      <c r="D262" s="83"/>
      <c r="E262" s="44" t="str">
        <f>IF(AND(C262="",D262=""),"",C262-D262)</f>
        <v/>
      </c>
      <c r="F262" s="13"/>
      <c r="G262" s="13"/>
      <c r="H262" s="13"/>
      <c r="I262" s="13"/>
      <c r="J262" s="13"/>
      <c r="K262" s="13"/>
    </row>
    <row r="263" spans="1:11" ht="20.100000000000001" customHeight="1" x14ac:dyDescent="0.25">
      <c r="A263" s="69"/>
      <c r="B263" s="51" t="s">
        <v>72</v>
      </c>
      <c r="C263" s="52"/>
      <c r="D263" s="75"/>
      <c r="E263" s="52"/>
      <c r="F263" s="13"/>
      <c r="G263" s="13"/>
      <c r="H263" s="13"/>
      <c r="I263" s="13"/>
      <c r="J263" s="13"/>
      <c r="K263" s="13"/>
    </row>
    <row r="264" spans="1:11" ht="20.100000000000001" customHeight="1" x14ac:dyDescent="0.25">
      <c r="A264" s="69"/>
      <c r="B264" s="43" t="s">
        <v>73</v>
      </c>
      <c r="C264" s="63"/>
      <c r="D264" s="83"/>
      <c r="E264" s="44" t="str">
        <f>IF(AND(C264="",D264=""),"",C264-D264)</f>
        <v/>
      </c>
      <c r="F264" s="13"/>
      <c r="G264" s="13"/>
      <c r="H264" s="13"/>
      <c r="I264" s="13"/>
      <c r="J264" s="13"/>
      <c r="K264" s="13"/>
    </row>
    <row r="265" spans="1:11" ht="20.100000000000001" customHeight="1" x14ac:dyDescent="0.25">
      <c r="A265" s="69"/>
      <c r="B265" s="45" t="s">
        <v>74</v>
      </c>
      <c r="C265" s="63"/>
      <c r="D265" s="83"/>
      <c r="E265" s="46" t="str">
        <f>IF(AND(C265="",D265=""),"",C265-D265)</f>
        <v/>
      </c>
      <c r="F265" s="13"/>
      <c r="G265" s="13"/>
      <c r="H265" s="13"/>
      <c r="I265" s="13"/>
      <c r="J265" s="13"/>
      <c r="K265" s="13"/>
    </row>
    <row r="266" spans="1:11" ht="20.100000000000001" customHeight="1" x14ac:dyDescent="0.25">
      <c r="A266" s="69"/>
      <c r="B266" s="43" t="s">
        <v>75</v>
      </c>
      <c r="C266" s="63"/>
      <c r="D266" s="83"/>
      <c r="E266" s="44" t="str">
        <f>IF(AND(C266="",D266=""),"",C266-D266)</f>
        <v/>
      </c>
      <c r="F266" s="13"/>
      <c r="G266" s="13"/>
      <c r="H266" s="13"/>
      <c r="I266" s="13"/>
      <c r="J266" s="13"/>
      <c r="K266" s="13"/>
    </row>
    <row r="267" spans="1:11" ht="20.100000000000001" customHeight="1" x14ac:dyDescent="0.25">
      <c r="A267" s="69"/>
      <c r="B267" s="51" t="s">
        <v>76</v>
      </c>
      <c r="C267" s="52"/>
      <c r="D267" s="75"/>
      <c r="E267" s="52"/>
      <c r="F267" s="13"/>
      <c r="G267" s="13"/>
      <c r="H267" s="13"/>
      <c r="I267" s="13"/>
      <c r="J267" s="13"/>
      <c r="K267" s="13"/>
    </row>
    <row r="268" spans="1:11" ht="20.100000000000001" customHeight="1" x14ac:dyDescent="0.25">
      <c r="A268" s="69"/>
      <c r="B268" s="43" t="s">
        <v>77</v>
      </c>
      <c r="C268" s="63"/>
      <c r="D268" s="83"/>
      <c r="E268" s="44" t="str">
        <f>IF(AND(C268="",D268=""),"",C268-D268)</f>
        <v/>
      </c>
      <c r="F268" s="13"/>
      <c r="G268" s="13"/>
      <c r="H268" s="13"/>
      <c r="I268" s="13"/>
      <c r="J268" s="13"/>
      <c r="K268" s="13"/>
    </row>
    <row r="269" spans="1:11" ht="20.100000000000001" customHeight="1" x14ac:dyDescent="0.25">
      <c r="A269" s="69"/>
      <c r="B269" s="45" t="s">
        <v>78</v>
      </c>
      <c r="C269" s="63"/>
      <c r="D269" s="83"/>
      <c r="E269" s="46" t="str">
        <f>IF(AND(C269="",D269=""),"",C269-D269)</f>
        <v/>
      </c>
      <c r="F269" s="13"/>
      <c r="G269" s="13"/>
      <c r="H269" s="13"/>
      <c r="I269" s="13"/>
      <c r="J269" s="13"/>
      <c r="K269" s="13"/>
    </row>
    <row r="270" spans="1:11" ht="20.100000000000001" customHeight="1" x14ac:dyDescent="0.25">
      <c r="A270" s="69"/>
      <c r="B270" s="43" t="s">
        <v>79</v>
      </c>
      <c r="C270" s="63"/>
      <c r="D270" s="83"/>
      <c r="E270" s="65" t="str">
        <f>IF(AND(C270="",D270=""),"",C270-D270)</f>
        <v/>
      </c>
      <c r="F270" s="13"/>
      <c r="G270" s="13"/>
      <c r="H270" s="13"/>
      <c r="I270" s="13"/>
      <c r="J270" s="13"/>
      <c r="K270" s="13"/>
    </row>
    <row r="271" spans="1:11" ht="24" customHeight="1" x14ac:dyDescent="0.25">
      <c r="A271" s="69"/>
      <c r="B271" s="53" t="s">
        <v>80</v>
      </c>
      <c r="C271" s="54">
        <f>C225+C226+C227+C228+C229+C231+C232+C233+C234+C235+C237+C238+C239+C241+C242+C243+C244+C245+C247+C248+C249+C250+C252+C253+C254+C256+C257+C258+C260+C261+C262+C264+C265+C266+C268+C269+C270</f>
        <v>0</v>
      </c>
      <c r="D271" s="64">
        <f>D225+D226+D227+D228+D229+D231+D232+D233+D234+D235+D237+D238+D239+D241+D242+D243+D244+D245+D247+D248+D249+D250+D252+D253+D254+D256+D257+D258+D260+D261+D262+D264+D265+D266+D268+D269+D270</f>
        <v>0</v>
      </c>
      <c r="E271" s="103">
        <f>C271-D271</f>
        <v>0</v>
      </c>
      <c r="F271" s="13"/>
      <c r="G271" s="13"/>
      <c r="H271" s="13"/>
      <c r="I271" s="13"/>
      <c r="J271" s="13"/>
      <c r="K271" s="13"/>
    </row>
    <row r="272" spans="1:11" ht="6" customHeight="1" x14ac:dyDescent="0.25">
      <c r="A272" s="69"/>
      <c r="B272" s="68"/>
      <c r="C272" s="68"/>
      <c r="D272" s="68"/>
      <c r="E272" s="76"/>
      <c r="F272" s="13"/>
      <c r="G272" s="13"/>
      <c r="H272" s="13"/>
      <c r="I272" s="13"/>
      <c r="J272" s="13"/>
      <c r="K272" s="13"/>
    </row>
    <row r="273" spans="1:11" ht="24" customHeight="1" x14ac:dyDescent="0.25">
      <c r="A273" s="69"/>
      <c r="B273" s="55" t="s">
        <v>90</v>
      </c>
      <c r="C273" s="39"/>
      <c r="D273" s="70"/>
      <c r="E273" s="39"/>
      <c r="F273" s="13"/>
      <c r="G273" s="13"/>
      <c r="H273" s="13"/>
      <c r="I273" s="13"/>
      <c r="J273" s="13"/>
      <c r="K273" s="13"/>
    </row>
    <row r="274" spans="1:11" ht="21.95" customHeight="1" x14ac:dyDescent="0.25">
      <c r="A274" s="69"/>
      <c r="B274" s="56" t="s">
        <v>82</v>
      </c>
      <c r="C274" s="57">
        <f>C220</f>
        <v>0</v>
      </c>
      <c r="D274" s="84">
        <f>D220</f>
        <v>0</v>
      </c>
      <c r="E274" s="58"/>
      <c r="F274" s="13"/>
      <c r="G274" s="13"/>
      <c r="H274" s="13"/>
      <c r="I274" s="13"/>
      <c r="J274" s="13"/>
      <c r="K274" s="13"/>
    </row>
    <row r="275" spans="1:11" ht="21.95" customHeight="1" x14ac:dyDescent="0.25">
      <c r="A275" s="69"/>
      <c r="B275" s="56" t="s">
        <v>83</v>
      </c>
      <c r="C275" s="57">
        <f>C271</f>
        <v>0</v>
      </c>
      <c r="D275" s="84">
        <f>D271</f>
        <v>0</v>
      </c>
      <c r="E275" s="58"/>
      <c r="F275" s="13"/>
      <c r="G275" s="13"/>
      <c r="H275" s="13"/>
      <c r="I275" s="13"/>
      <c r="J275" s="13"/>
      <c r="K275" s="13"/>
    </row>
    <row r="276" spans="1:11" ht="21.95" customHeight="1" x14ac:dyDescent="0.25">
      <c r="A276" s="69"/>
      <c r="B276" s="59" t="s">
        <v>84</v>
      </c>
      <c r="C276" s="60">
        <f>C274-C275</f>
        <v>0</v>
      </c>
      <c r="D276" s="85">
        <f>D220-D271</f>
        <v>0</v>
      </c>
      <c r="E276" s="61"/>
      <c r="F276" s="13"/>
      <c r="G276" s="13"/>
      <c r="H276" s="13"/>
      <c r="I276" s="13"/>
      <c r="J276" s="13"/>
      <c r="K276" s="13"/>
    </row>
    <row r="277" spans="1:11" ht="21.95" customHeight="1" x14ac:dyDescent="0.25">
      <c r="A277" s="69"/>
      <c r="B277" s="78" t="s">
        <v>5</v>
      </c>
      <c r="C277" s="79" t="str">
        <f>IF(C274=0,"",1-C275/C274)</f>
        <v/>
      </c>
      <c r="D277" s="86" t="str">
        <f>IF(D220=0,"",1-D271/D220)</f>
        <v/>
      </c>
      <c r="E277" s="87"/>
      <c r="F277" s="13"/>
      <c r="G277" s="13"/>
      <c r="H277" s="13"/>
      <c r="I277" s="13"/>
      <c r="J277" s="13"/>
      <c r="K277" s="13"/>
    </row>
    <row r="278" spans="1:11" ht="6" customHeight="1" x14ac:dyDescent="0.25">
      <c r="A278" s="69"/>
      <c r="B278" s="69"/>
      <c r="C278" s="69"/>
      <c r="D278" s="69"/>
      <c r="E278" s="77"/>
      <c r="F278" s="13"/>
      <c r="G278" s="13"/>
      <c r="H278" s="13"/>
      <c r="I278" s="13"/>
      <c r="J278" s="13"/>
      <c r="K278" s="13"/>
    </row>
    <row r="279" spans="1:11" ht="6" customHeight="1" x14ac:dyDescent="0.25">
      <c r="A279" s="69"/>
      <c r="B279" s="69"/>
      <c r="C279" s="69"/>
      <c r="D279" s="69"/>
      <c r="E279" s="77"/>
      <c r="F279" s="13"/>
      <c r="G279" s="13"/>
      <c r="H279" s="13"/>
      <c r="I279" s="13"/>
      <c r="J279" s="13"/>
      <c r="K279" s="13"/>
    </row>
    <row r="280" spans="1:11" ht="6" customHeight="1" x14ac:dyDescent="0.25">
      <c r="A280" s="69"/>
      <c r="B280" s="69"/>
      <c r="C280" s="69"/>
      <c r="D280" s="69"/>
      <c r="E280" s="77"/>
      <c r="F280" s="13"/>
      <c r="G280" s="13"/>
      <c r="H280" s="13"/>
      <c r="I280" s="13"/>
      <c r="J280" s="13"/>
      <c r="K280" s="13"/>
    </row>
    <row r="281" spans="1:11" ht="32.1" customHeight="1" x14ac:dyDescent="0.25">
      <c r="A281" s="69"/>
      <c r="B281" s="80" t="s">
        <v>91</v>
      </c>
      <c r="C281" s="81"/>
      <c r="D281" s="82"/>
      <c r="E281" s="81"/>
      <c r="F281" s="13"/>
      <c r="G281" s="13"/>
      <c r="H281" s="13"/>
      <c r="I281" s="13"/>
      <c r="J281" s="13"/>
      <c r="K281" s="13"/>
    </row>
    <row r="282" spans="1:11" ht="6" customHeight="1" x14ac:dyDescent="0.25">
      <c r="A282" s="69"/>
      <c r="B282" s="37"/>
      <c r="C282" s="37"/>
      <c r="D282" s="37"/>
      <c r="E282" s="66"/>
      <c r="F282" s="13"/>
      <c r="G282" s="13"/>
      <c r="H282" s="13"/>
      <c r="I282" s="13"/>
      <c r="J282" s="13"/>
      <c r="K282" s="13"/>
    </row>
    <row r="283" spans="1:11" ht="24" customHeight="1" x14ac:dyDescent="0.25">
      <c r="A283" s="69"/>
      <c r="B283" s="40" t="s">
        <v>22</v>
      </c>
      <c r="C283" s="41"/>
      <c r="D283" s="71"/>
      <c r="E283" s="41"/>
      <c r="F283" s="13"/>
      <c r="G283" s="13"/>
      <c r="H283" s="13"/>
      <c r="I283" s="13"/>
      <c r="J283" s="13"/>
      <c r="K283" s="13"/>
    </row>
    <row r="284" spans="1:11" ht="21.95" customHeight="1" x14ac:dyDescent="0.25">
      <c r="A284" s="69"/>
      <c r="B284" s="42" t="s">
        <v>20</v>
      </c>
      <c r="C284" s="42" t="s">
        <v>23</v>
      </c>
      <c r="D284" s="72" t="s">
        <v>24</v>
      </c>
      <c r="E284" s="42" t="s">
        <v>25</v>
      </c>
      <c r="F284" s="13"/>
      <c r="G284" s="13"/>
      <c r="H284" s="13"/>
      <c r="I284" s="13"/>
      <c r="J284" s="13"/>
      <c r="K284" s="13"/>
    </row>
    <row r="285" spans="1:11" ht="20.100000000000001" customHeight="1" x14ac:dyDescent="0.25">
      <c r="A285" s="69"/>
      <c r="B285" s="43" t="s">
        <v>26</v>
      </c>
      <c r="C285" s="63"/>
      <c r="D285" s="83"/>
      <c r="E285" s="44" t="str">
        <f>IF(AND(C285="",D285=""),"",D285-C285)</f>
        <v/>
      </c>
      <c r="F285" s="13"/>
      <c r="G285" s="13"/>
      <c r="H285" s="13"/>
      <c r="I285" s="13"/>
      <c r="J285" s="13"/>
      <c r="K285" s="13"/>
    </row>
    <row r="286" spans="1:11" ht="20.100000000000001" customHeight="1" x14ac:dyDescent="0.25">
      <c r="A286" s="69"/>
      <c r="B286" s="45" t="s">
        <v>27</v>
      </c>
      <c r="C286" s="63"/>
      <c r="D286" s="83"/>
      <c r="E286" s="46" t="str">
        <f>IF(AND(C286="",D286=""),"",D286-C286)</f>
        <v/>
      </c>
      <c r="F286" s="13"/>
      <c r="G286" s="13"/>
      <c r="H286" s="13"/>
      <c r="I286" s="13"/>
      <c r="J286" s="13"/>
      <c r="K286" s="13"/>
    </row>
    <row r="287" spans="1:11" ht="20.100000000000001" customHeight="1" x14ac:dyDescent="0.25">
      <c r="A287" s="69"/>
      <c r="B287" s="43" t="s">
        <v>28</v>
      </c>
      <c r="C287" s="63"/>
      <c r="D287" s="83"/>
      <c r="E287" s="44" t="str">
        <f>IF(AND(C287="",D287=""),"",D287-C287)</f>
        <v/>
      </c>
      <c r="F287" s="13"/>
      <c r="G287" s="13"/>
      <c r="H287" s="13"/>
      <c r="I287" s="13"/>
      <c r="J287" s="13"/>
      <c r="K287" s="13"/>
    </row>
    <row r="288" spans="1:11" ht="20.100000000000001" customHeight="1" x14ac:dyDescent="0.25">
      <c r="A288" s="69"/>
      <c r="B288" s="45" t="s">
        <v>29</v>
      </c>
      <c r="C288" s="63"/>
      <c r="D288" s="83"/>
      <c r="E288" s="46" t="str">
        <f>IF(AND(C288="",D288=""),"",D288-C288)</f>
        <v/>
      </c>
      <c r="F288" s="13"/>
      <c r="G288" s="13"/>
      <c r="H288" s="13"/>
      <c r="I288" s="13"/>
      <c r="J288" s="13"/>
      <c r="K288" s="13"/>
    </row>
    <row r="289" spans="1:11" ht="20.100000000000001" customHeight="1" x14ac:dyDescent="0.25">
      <c r="A289" s="69"/>
      <c r="B289" s="43" t="s">
        <v>30</v>
      </c>
      <c r="C289" s="63"/>
      <c r="D289" s="83"/>
      <c r="E289" s="44" t="str">
        <f>IF(AND(C289="",D289=""),"",D289-C289)</f>
        <v/>
      </c>
      <c r="F289" s="13"/>
      <c r="G289" s="13"/>
      <c r="H289" s="13"/>
      <c r="I289" s="13"/>
      <c r="J289" s="13"/>
      <c r="K289" s="13"/>
    </row>
    <row r="290" spans="1:11" ht="24" customHeight="1" x14ac:dyDescent="0.25">
      <c r="A290" s="69"/>
      <c r="B290" s="47" t="s">
        <v>31</v>
      </c>
      <c r="C290" s="48">
        <f>SUM(C285:C289)</f>
        <v>0</v>
      </c>
      <c r="D290" s="73">
        <f>SUM(D285:D289)</f>
        <v>0</v>
      </c>
      <c r="E290" s="48">
        <f>D290-C290</f>
        <v>0</v>
      </c>
      <c r="F290" s="13"/>
      <c r="G290" s="13"/>
      <c r="H290" s="13"/>
      <c r="I290" s="13"/>
      <c r="J290" s="13"/>
      <c r="K290" s="13"/>
    </row>
    <row r="291" spans="1:11" ht="6" customHeight="1" x14ac:dyDescent="0.25">
      <c r="A291" s="69"/>
      <c r="B291" s="68"/>
      <c r="C291" s="68"/>
      <c r="D291" s="68"/>
      <c r="E291" s="76"/>
      <c r="F291" s="13"/>
      <c r="G291" s="13"/>
      <c r="H291" s="13"/>
      <c r="I291" s="13"/>
      <c r="J291" s="13"/>
      <c r="K291" s="13"/>
    </row>
    <row r="292" spans="1:11" ht="24" customHeight="1" x14ac:dyDescent="0.25">
      <c r="A292" s="69"/>
      <c r="B292" s="49" t="s">
        <v>32</v>
      </c>
      <c r="C292" s="50"/>
      <c r="D292" s="74"/>
      <c r="E292" s="50"/>
      <c r="F292" s="13"/>
      <c r="G292" s="13"/>
      <c r="H292" s="13"/>
      <c r="I292" s="13"/>
      <c r="J292" s="13"/>
      <c r="K292" s="13"/>
    </row>
    <row r="293" spans="1:11" ht="21.95" customHeight="1" x14ac:dyDescent="0.25">
      <c r="A293" s="69"/>
      <c r="B293" s="42" t="s">
        <v>20</v>
      </c>
      <c r="C293" s="42" t="s">
        <v>23</v>
      </c>
      <c r="D293" s="72" t="s">
        <v>24</v>
      </c>
      <c r="E293" s="42" t="s">
        <v>25</v>
      </c>
      <c r="F293" s="13"/>
      <c r="G293" s="13"/>
      <c r="H293" s="13"/>
      <c r="I293" s="13"/>
      <c r="J293" s="13"/>
      <c r="K293" s="13"/>
    </row>
    <row r="294" spans="1:11" ht="20.100000000000001" customHeight="1" x14ac:dyDescent="0.25">
      <c r="A294" s="69"/>
      <c r="B294" s="51" t="s">
        <v>33</v>
      </c>
      <c r="C294" s="52"/>
      <c r="D294" s="75"/>
      <c r="E294" s="52"/>
      <c r="F294" s="13"/>
      <c r="G294" s="13"/>
      <c r="H294" s="13"/>
      <c r="I294" s="13"/>
      <c r="J294" s="13"/>
      <c r="K294" s="13"/>
    </row>
    <row r="295" spans="1:11" ht="20.100000000000001" customHeight="1" x14ac:dyDescent="0.25">
      <c r="A295" s="69"/>
      <c r="B295" s="43" t="s">
        <v>34</v>
      </c>
      <c r="C295" s="63"/>
      <c r="D295" s="83"/>
      <c r="E295" s="44" t="str">
        <f>IF(AND(C295="",D295=""),"",C295-D295)</f>
        <v/>
      </c>
      <c r="F295" s="13"/>
      <c r="G295" s="13"/>
      <c r="H295" s="13"/>
      <c r="I295" s="13"/>
      <c r="J295" s="13"/>
      <c r="K295" s="13"/>
    </row>
    <row r="296" spans="1:11" ht="20.100000000000001" customHeight="1" x14ac:dyDescent="0.25">
      <c r="A296" s="69"/>
      <c r="B296" s="45" t="s">
        <v>35</v>
      </c>
      <c r="C296" s="63"/>
      <c r="D296" s="83"/>
      <c r="E296" s="46" t="str">
        <f>IF(AND(C296="",D296=""),"",C296-D296)</f>
        <v/>
      </c>
      <c r="F296" s="13"/>
      <c r="G296" s="13"/>
      <c r="H296" s="13"/>
      <c r="I296" s="13"/>
      <c r="J296" s="13"/>
      <c r="K296" s="13"/>
    </row>
    <row r="297" spans="1:11" ht="20.100000000000001" customHeight="1" x14ac:dyDescent="0.25">
      <c r="A297" s="69"/>
      <c r="B297" s="43" t="s">
        <v>36</v>
      </c>
      <c r="C297" s="63"/>
      <c r="D297" s="83"/>
      <c r="E297" s="44" t="str">
        <f>IF(AND(C297="",D297=""),"",C297-D297)</f>
        <v/>
      </c>
      <c r="F297" s="13"/>
      <c r="G297" s="13"/>
      <c r="H297" s="13"/>
      <c r="I297" s="13"/>
      <c r="J297" s="13"/>
      <c r="K297" s="13"/>
    </row>
    <row r="298" spans="1:11" ht="20.100000000000001" customHeight="1" x14ac:dyDescent="0.25">
      <c r="A298" s="69"/>
      <c r="B298" s="45" t="s">
        <v>37</v>
      </c>
      <c r="C298" s="63"/>
      <c r="D298" s="83"/>
      <c r="E298" s="46" t="str">
        <f>IF(AND(C298="",D298=""),"",C298-D298)</f>
        <v/>
      </c>
      <c r="F298" s="13"/>
      <c r="G298" s="13"/>
      <c r="H298" s="13"/>
      <c r="I298" s="13"/>
      <c r="J298" s="13"/>
      <c r="K298" s="13"/>
    </row>
    <row r="299" spans="1:11" ht="20.100000000000001" customHeight="1" x14ac:dyDescent="0.25">
      <c r="A299" s="69"/>
      <c r="B299" s="43" t="s">
        <v>38</v>
      </c>
      <c r="C299" s="63"/>
      <c r="D299" s="83"/>
      <c r="E299" s="44" t="str">
        <f>IF(AND(C299="",D299=""),"",C299-D299)</f>
        <v/>
      </c>
      <c r="F299" s="13"/>
      <c r="G299" s="13"/>
      <c r="H299" s="13"/>
      <c r="I299" s="13"/>
      <c r="J299" s="13"/>
      <c r="K299" s="13"/>
    </row>
    <row r="300" spans="1:11" ht="20.100000000000001" customHeight="1" x14ac:dyDescent="0.25">
      <c r="A300" s="69"/>
      <c r="B300" s="51" t="s">
        <v>39</v>
      </c>
      <c r="C300" s="52"/>
      <c r="D300" s="75"/>
      <c r="E300" s="52"/>
      <c r="F300" s="13"/>
      <c r="G300" s="13"/>
      <c r="H300" s="13"/>
      <c r="I300" s="13"/>
      <c r="J300" s="13"/>
      <c r="K300" s="13"/>
    </row>
    <row r="301" spans="1:11" ht="20.100000000000001" customHeight="1" x14ac:dyDescent="0.25">
      <c r="A301" s="69"/>
      <c r="B301" s="43" t="s">
        <v>40</v>
      </c>
      <c r="C301" s="63"/>
      <c r="D301" s="83"/>
      <c r="E301" s="44" t="str">
        <f>IF(AND(C301="",D301=""),"",C301-D301)</f>
        <v/>
      </c>
      <c r="F301" s="13"/>
      <c r="G301" s="13"/>
      <c r="H301" s="13"/>
      <c r="I301" s="13"/>
      <c r="J301" s="13"/>
      <c r="K301" s="13"/>
    </row>
    <row r="302" spans="1:11" ht="20.100000000000001" customHeight="1" x14ac:dyDescent="0.25">
      <c r="A302" s="69"/>
      <c r="B302" s="45" t="s">
        <v>41</v>
      </c>
      <c r="C302" s="63"/>
      <c r="D302" s="83"/>
      <c r="E302" s="46" t="str">
        <f>IF(AND(C302="",D302=""),"",C302-D302)</f>
        <v/>
      </c>
      <c r="F302" s="13"/>
      <c r="G302" s="13"/>
      <c r="H302" s="13"/>
      <c r="I302" s="13"/>
      <c r="J302" s="13"/>
      <c r="K302" s="13"/>
    </row>
    <row r="303" spans="1:11" ht="20.100000000000001" customHeight="1" x14ac:dyDescent="0.25">
      <c r="A303" s="69"/>
      <c r="B303" s="43" t="s">
        <v>42</v>
      </c>
      <c r="C303" s="63"/>
      <c r="D303" s="83"/>
      <c r="E303" s="44" t="str">
        <f>IF(AND(C303="",D303=""),"",C303-D303)</f>
        <v/>
      </c>
      <c r="F303" s="13"/>
      <c r="G303" s="13"/>
      <c r="H303" s="13"/>
      <c r="I303" s="13"/>
      <c r="J303" s="13"/>
      <c r="K303" s="13"/>
    </row>
    <row r="304" spans="1:11" ht="20.100000000000001" customHeight="1" x14ac:dyDescent="0.25">
      <c r="A304" s="69"/>
      <c r="B304" s="45" t="s">
        <v>43</v>
      </c>
      <c r="C304" s="63"/>
      <c r="D304" s="83"/>
      <c r="E304" s="46" t="str">
        <f>IF(AND(C304="",D304=""),"",C304-D304)</f>
        <v/>
      </c>
      <c r="F304" s="13"/>
      <c r="G304" s="13"/>
      <c r="H304" s="13"/>
      <c r="I304" s="13"/>
      <c r="J304" s="13"/>
      <c r="K304" s="13"/>
    </row>
    <row r="305" spans="1:11" ht="20.100000000000001" customHeight="1" x14ac:dyDescent="0.25">
      <c r="A305" s="69"/>
      <c r="B305" s="43" t="s">
        <v>44</v>
      </c>
      <c r="C305" s="63"/>
      <c r="D305" s="83"/>
      <c r="E305" s="44" t="str">
        <f>IF(AND(C305="",D305=""),"",C305-D305)</f>
        <v/>
      </c>
      <c r="F305" s="13"/>
      <c r="G305" s="13"/>
      <c r="H305" s="13"/>
      <c r="I305" s="13"/>
      <c r="J305" s="13"/>
      <c r="K305" s="13"/>
    </row>
    <row r="306" spans="1:11" ht="20.100000000000001" customHeight="1" x14ac:dyDescent="0.25">
      <c r="A306" s="69"/>
      <c r="B306" s="51" t="s">
        <v>45</v>
      </c>
      <c r="C306" s="52"/>
      <c r="D306" s="75"/>
      <c r="E306" s="52"/>
      <c r="F306" s="13"/>
      <c r="G306" s="13"/>
      <c r="H306" s="13"/>
      <c r="I306" s="13"/>
      <c r="J306" s="13"/>
      <c r="K306" s="13"/>
    </row>
    <row r="307" spans="1:11" ht="20.100000000000001" customHeight="1" x14ac:dyDescent="0.25">
      <c r="A307" s="69"/>
      <c r="B307" s="43" t="s">
        <v>46</v>
      </c>
      <c r="C307" s="63"/>
      <c r="D307" s="83"/>
      <c r="E307" s="44" t="str">
        <f>IF(AND(C307="",D307=""),"",C307-D307)</f>
        <v/>
      </c>
      <c r="F307" s="13"/>
      <c r="G307" s="13"/>
      <c r="H307" s="13"/>
      <c r="I307" s="13"/>
      <c r="J307" s="13"/>
      <c r="K307" s="13"/>
    </row>
    <row r="308" spans="1:11" ht="20.100000000000001" customHeight="1" x14ac:dyDescent="0.25">
      <c r="A308" s="69"/>
      <c r="B308" s="45" t="s">
        <v>47</v>
      </c>
      <c r="C308" s="63"/>
      <c r="D308" s="83"/>
      <c r="E308" s="46" t="str">
        <f>IF(AND(C308="",D308=""),"",C308-D308)</f>
        <v/>
      </c>
      <c r="F308" s="13"/>
      <c r="G308" s="13"/>
      <c r="H308" s="13"/>
      <c r="I308" s="13"/>
      <c r="J308" s="13"/>
      <c r="K308" s="13"/>
    </row>
    <row r="309" spans="1:11" ht="20.100000000000001" customHeight="1" x14ac:dyDescent="0.25">
      <c r="A309" s="69"/>
      <c r="B309" s="43" t="s">
        <v>48</v>
      </c>
      <c r="C309" s="63"/>
      <c r="D309" s="83"/>
      <c r="E309" s="44" t="str">
        <f>IF(AND(C309="",D309=""),"",C309-D309)</f>
        <v/>
      </c>
      <c r="F309" s="13"/>
      <c r="G309" s="13"/>
      <c r="H309" s="13"/>
      <c r="I309" s="13"/>
      <c r="J309" s="13"/>
      <c r="K309" s="13"/>
    </row>
    <row r="310" spans="1:11" ht="20.100000000000001" customHeight="1" x14ac:dyDescent="0.25">
      <c r="A310" s="69"/>
      <c r="B310" s="51" t="s">
        <v>49</v>
      </c>
      <c r="C310" s="52"/>
      <c r="D310" s="75"/>
      <c r="E310" s="52"/>
      <c r="F310" s="13"/>
      <c r="G310" s="13"/>
      <c r="H310" s="13"/>
      <c r="I310" s="13"/>
      <c r="J310" s="13"/>
      <c r="K310" s="13"/>
    </row>
    <row r="311" spans="1:11" ht="20.100000000000001" customHeight="1" x14ac:dyDescent="0.25">
      <c r="A311" s="69"/>
      <c r="B311" s="43" t="s">
        <v>50</v>
      </c>
      <c r="C311" s="63"/>
      <c r="D311" s="83"/>
      <c r="E311" s="44" t="str">
        <f>IF(AND(C311="",D311=""),"",C311-D311)</f>
        <v/>
      </c>
      <c r="F311" s="13"/>
      <c r="G311" s="13"/>
      <c r="H311" s="13"/>
      <c r="I311" s="13"/>
      <c r="J311" s="13"/>
      <c r="K311" s="13"/>
    </row>
    <row r="312" spans="1:11" ht="20.100000000000001" customHeight="1" x14ac:dyDescent="0.25">
      <c r="A312" s="69"/>
      <c r="B312" s="45" t="s">
        <v>51</v>
      </c>
      <c r="C312" s="63"/>
      <c r="D312" s="83"/>
      <c r="E312" s="46" t="str">
        <f>IF(AND(C312="",D312=""),"",C312-D312)</f>
        <v/>
      </c>
      <c r="F312" s="13"/>
      <c r="G312" s="13"/>
      <c r="H312" s="13"/>
      <c r="I312" s="13"/>
      <c r="J312" s="13"/>
      <c r="K312" s="13"/>
    </row>
    <row r="313" spans="1:11" ht="20.100000000000001" customHeight="1" x14ac:dyDescent="0.25">
      <c r="A313" s="69"/>
      <c r="B313" s="43" t="s">
        <v>52</v>
      </c>
      <c r="C313" s="63"/>
      <c r="D313" s="83"/>
      <c r="E313" s="44" t="str">
        <f>IF(AND(C313="",D313=""),"",C313-D313)</f>
        <v/>
      </c>
      <c r="F313" s="13"/>
      <c r="G313" s="13"/>
      <c r="H313" s="13"/>
      <c r="I313" s="13"/>
      <c r="J313" s="13"/>
      <c r="K313" s="13"/>
    </row>
    <row r="314" spans="1:11" ht="20.100000000000001" customHeight="1" x14ac:dyDescent="0.25">
      <c r="A314" s="69"/>
      <c r="B314" s="45" t="s">
        <v>53</v>
      </c>
      <c r="C314" s="63"/>
      <c r="D314" s="83"/>
      <c r="E314" s="46" t="str">
        <f>IF(AND(C314="",D314=""),"",C314-D314)</f>
        <v/>
      </c>
      <c r="F314" s="13"/>
      <c r="G314" s="13"/>
      <c r="H314" s="13"/>
      <c r="I314" s="13"/>
      <c r="J314" s="13"/>
      <c r="K314" s="13"/>
    </row>
    <row r="315" spans="1:11" ht="20.100000000000001" customHeight="1" x14ac:dyDescent="0.25">
      <c r="A315" s="69"/>
      <c r="B315" s="43" t="s">
        <v>54</v>
      </c>
      <c r="C315" s="63"/>
      <c r="D315" s="83"/>
      <c r="E315" s="44" t="str">
        <f>IF(AND(C315="",D315=""),"",C315-D315)</f>
        <v/>
      </c>
      <c r="F315" s="13"/>
      <c r="G315" s="13"/>
      <c r="H315" s="13"/>
      <c r="I315" s="13"/>
      <c r="J315" s="13"/>
      <c r="K315" s="13"/>
    </row>
    <row r="316" spans="1:11" ht="20.100000000000001" customHeight="1" x14ac:dyDescent="0.25">
      <c r="A316" s="69"/>
      <c r="B316" s="51" t="s">
        <v>55</v>
      </c>
      <c r="C316" s="52"/>
      <c r="D316" s="75"/>
      <c r="E316" s="52"/>
      <c r="F316" s="13"/>
      <c r="G316" s="13"/>
      <c r="H316" s="13"/>
      <c r="I316" s="13"/>
      <c r="J316" s="13"/>
      <c r="K316" s="13"/>
    </row>
    <row r="317" spans="1:11" ht="20.100000000000001" customHeight="1" x14ac:dyDescent="0.25">
      <c r="A317" s="69"/>
      <c r="B317" s="43" t="s">
        <v>56</v>
      </c>
      <c r="C317" s="63"/>
      <c r="D317" s="83"/>
      <c r="E317" s="44" t="str">
        <f>IF(AND(C317="",D317=""),"",C317-D317)</f>
        <v/>
      </c>
      <c r="F317" s="13"/>
      <c r="G317" s="13"/>
      <c r="H317" s="13"/>
      <c r="I317" s="13"/>
      <c r="J317" s="13"/>
      <c r="K317" s="13"/>
    </row>
    <row r="318" spans="1:11" ht="20.100000000000001" customHeight="1" x14ac:dyDescent="0.25">
      <c r="A318" s="69"/>
      <c r="B318" s="45" t="s">
        <v>57</v>
      </c>
      <c r="C318" s="63"/>
      <c r="D318" s="83"/>
      <c r="E318" s="46" t="str">
        <f>IF(AND(C318="",D318=""),"",C318-D318)</f>
        <v/>
      </c>
      <c r="F318" s="13"/>
      <c r="G318" s="13"/>
      <c r="H318" s="13"/>
      <c r="I318" s="13"/>
      <c r="J318" s="13"/>
      <c r="K318" s="13"/>
    </row>
    <row r="319" spans="1:11" ht="20.100000000000001" customHeight="1" x14ac:dyDescent="0.25">
      <c r="A319" s="69"/>
      <c r="B319" s="43" t="s">
        <v>58</v>
      </c>
      <c r="C319" s="63"/>
      <c r="D319" s="83"/>
      <c r="E319" s="44" t="str">
        <f>IF(AND(C319="",D319=""),"",C319-D319)</f>
        <v/>
      </c>
      <c r="F319" s="13"/>
      <c r="G319" s="13"/>
      <c r="H319" s="13"/>
      <c r="I319" s="13"/>
      <c r="J319" s="13"/>
      <c r="K319" s="13"/>
    </row>
    <row r="320" spans="1:11" ht="20.100000000000001" customHeight="1" x14ac:dyDescent="0.25">
      <c r="A320" s="69"/>
      <c r="B320" s="45" t="s">
        <v>59</v>
      </c>
      <c r="C320" s="63"/>
      <c r="D320" s="83"/>
      <c r="E320" s="46" t="str">
        <f>IF(AND(C320="",D320=""),"",C320-D320)</f>
        <v/>
      </c>
      <c r="F320" s="13"/>
      <c r="G320" s="13"/>
      <c r="H320" s="13"/>
      <c r="I320" s="13"/>
      <c r="J320" s="13"/>
      <c r="K320" s="13"/>
    </row>
    <row r="321" spans="1:11" ht="20.100000000000001" customHeight="1" x14ac:dyDescent="0.25">
      <c r="A321" s="69"/>
      <c r="B321" s="51" t="s">
        <v>60</v>
      </c>
      <c r="C321" s="52"/>
      <c r="D321" s="75"/>
      <c r="E321" s="52"/>
      <c r="F321" s="13"/>
      <c r="G321" s="13"/>
      <c r="H321" s="13"/>
      <c r="I321" s="13"/>
      <c r="J321" s="13"/>
      <c r="K321" s="13"/>
    </row>
    <row r="322" spans="1:11" ht="20.100000000000001" customHeight="1" x14ac:dyDescent="0.25">
      <c r="A322" s="69"/>
      <c r="B322" s="43" t="s">
        <v>61</v>
      </c>
      <c r="C322" s="63"/>
      <c r="D322" s="83"/>
      <c r="E322" s="44" t="str">
        <f>IF(AND(C322="",D322=""),"",C322-D322)</f>
        <v/>
      </c>
      <c r="F322" s="13"/>
      <c r="G322" s="13"/>
      <c r="H322" s="13"/>
      <c r="I322" s="13"/>
      <c r="J322" s="13"/>
      <c r="K322" s="13"/>
    </row>
    <row r="323" spans="1:11" ht="20.100000000000001" customHeight="1" x14ac:dyDescent="0.25">
      <c r="A323" s="69"/>
      <c r="B323" s="45" t="s">
        <v>62</v>
      </c>
      <c r="C323" s="63"/>
      <c r="D323" s="83"/>
      <c r="E323" s="46" t="str">
        <f>IF(AND(C323="",D323=""),"",C323-D323)</f>
        <v/>
      </c>
      <c r="F323" s="13"/>
      <c r="G323" s="13"/>
      <c r="H323" s="13"/>
      <c r="I323" s="13"/>
      <c r="J323" s="13"/>
      <c r="K323" s="13"/>
    </row>
    <row r="324" spans="1:11" ht="20.100000000000001" customHeight="1" x14ac:dyDescent="0.25">
      <c r="A324" s="69"/>
      <c r="B324" s="43" t="s">
        <v>63</v>
      </c>
      <c r="C324" s="63"/>
      <c r="D324" s="83"/>
      <c r="E324" s="44" t="str">
        <f>IF(AND(C324="",D324=""),"",C324-D324)</f>
        <v/>
      </c>
      <c r="F324" s="13"/>
      <c r="G324" s="13"/>
      <c r="H324" s="13"/>
      <c r="I324" s="13"/>
      <c r="J324" s="13"/>
      <c r="K324" s="13"/>
    </row>
    <row r="325" spans="1:11" ht="20.100000000000001" customHeight="1" x14ac:dyDescent="0.25">
      <c r="A325" s="69"/>
      <c r="B325" s="51" t="s">
        <v>64</v>
      </c>
      <c r="C325" s="52"/>
      <c r="D325" s="75"/>
      <c r="E325" s="52"/>
      <c r="F325" s="13"/>
      <c r="G325" s="13"/>
      <c r="H325" s="13"/>
      <c r="I325" s="13"/>
      <c r="J325" s="13"/>
      <c r="K325" s="13"/>
    </row>
    <row r="326" spans="1:11" ht="20.100000000000001" customHeight="1" x14ac:dyDescent="0.25">
      <c r="A326" s="69"/>
      <c r="B326" s="43" t="s">
        <v>65</v>
      </c>
      <c r="C326" s="63"/>
      <c r="D326" s="83"/>
      <c r="E326" s="44" t="str">
        <f>IF(AND(C326="",D326=""),"",C326-D326)</f>
        <v/>
      </c>
      <c r="F326" s="13"/>
      <c r="G326" s="13"/>
      <c r="H326" s="13"/>
      <c r="I326" s="13"/>
      <c r="J326" s="13"/>
      <c r="K326" s="13"/>
    </row>
    <row r="327" spans="1:11" ht="20.100000000000001" customHeight="1" x14ac:dyDescent="0.25">
      <c r="A327" s="69"/>
      <c r="B327" s="45" t="s">
        <v>66</v>
      </c>
      <c r="C327" s="63"/>
      <c r="D327" s="83"/>
      <c r="E327" s="46" t="str">
        <f>IF(AND(C327="",D327=""),"",C327-D327)</f>
        <v/>
      </c>
      <c r="F327" s="13"/>
      <c r="G327" s="13"/>
      <c r="H327" s="13"/>
      <c r="I327" s="13"/>
      <c r="J327" s="13"/>
      <c r="K327" s="13"/>
    </row>
    <row r="328" spans="1:11" ht="20.100000000000001" customHeight="1" x14ac:dyDescent="0.25">
      <c r="A328" s="69"/>
      <c r="B328" s="43" t="s">
        <v>67</v>
      </c>
      <c r="C328" s="63"/>
      <c r="D328" s="83"/>
      <c r="E328" s="44" t="str">
        <f>IF(AND(C328="",D328=""),"",C328-D328)</f>
        <v/>
      </c>
      <c r="F328" s="13"/>
      <c r="G328" s="13"/>
      <c r="H328" s="13"/>
      <c r="I328" s="13"/>
      <c r="J328" s="13"/>
      <c r="K328" s="13"/>
    </row>
    <row r="329" spans="1:11" ht="20.100000000000001" customHeight="1" x14ac:dyDescent="0.25">
      <c r="A329" s="69"/>
      <c r="B329" s="51" t="s">
        <v>68</v>
      </c>
      <c r="C329" s="52"/>
      <c r="D329" s="75"/>
      <c r="E329" s="52"/>
      <c r="F329" s="13"/>
      <c r="G329" s="13"/>
      <c r="H329" s="13"/>
      <c r="I329" s="13"/>
      <c r="J329" s="13"/>
      <c r="K329" s="13"/>
    </row>
    <row r="330" spans="1:11" ht="20.100000000000001" customHeight="1" x14ac:dyDescent="0.25">
      <c r="A330" s="69"/>
      <c r="B330" s="43" t="s">
        <v>69</v>
      </c>
      <c r="C330" s="63"/>
      <c r="D330" s="83"/>
      <c r="E330" s="44" t="str">
        <f>IF(AND(C330="",D330=""),"",C330-D330)</f>
        <v/>
      </c>
      <c r="F330" s="13"/>
      <c r="G330" s="13"/>
      <c r="H330" s="13"/>
      <c r="I330" s="13"/>
      <c r="J330" s="13"/>
      <c r="K330" s="13"/>
    </row>
    <row r="331" spans="1:11" ht="20.100000000000001" customHeight="1" x14ac:dyDescent="0.25">
      <c r="A331" s="69"/>
      <c r="B331" s="45" t="s">
        <v>70</v>
      </c>
      <c r="C331" s="63"/>
      <c r="D331" s="83"/>
      <c r="E331" s="46" t="str">
        <f>IF(AND(C331="",D331=""),"",C331-D331)</f>
        <v/>
      </c>
      <c r="F331" s="13"/>
      <c r="G331" s="13"/>
      <c r="H331" s="13"/>
      <c r="I331" s="13"/>
      <c r="J331" s="13"/>
      <c r="K331" s="13"/>
    </row>
    <row r="332" spans="1:11" ht="20.100000000000001" customHeight="1" x14ac:dyDescent="0.25">
      <c r="A332" s="69"/>
      <c r="B332" s="43" t="s">
        <v>71</v>
      </c>
      <c r="C332" s="63"/>
      <c r="D332" s="83"/>
      <c r="E332" s="44" t="str">
        <f>IF(AND(C332="",D332=""),"",C332-D332)</f>
        <v/>
      </c>
      <c r="F332" s="13"/>
      <c r="G332" s="13"/>
      <c r="H332" s="13"/>
      <c r="I332" s="13"/>
      <c r="J332" s="13"/>
      <c r="K332" s="13"/>
    </row>
    <row r="333" spans="1:11" ht="20.100000000000001" customHeight="1" x14ac:dyDescent="0.25">
      <c r="A333" s="69"/>
      <c r="B333" s="51" t="s">
        <v>72</v>
      </c>
      <c r="C333" s="52"/>
      <c r="D333" s="75"/>
      <c r="E333" s="52"/>
      <c r="F333" s="13"/>
      <c r="G333" s="13"/>
      <c r="H333" s="13"/>
      <c r="I333" s="13"/>
      <c r="J333" s="13"/>
      <c r="K333" s="13"/>
    </row>
    <row r="334" spans="1:11" ht="20.100000000000001" customHeight="1" x14ac:dyDescent="0.25">
      <c r="A334" s="69"/>
      <c r="B334" s="43" t="s">
        <v>73</v>
      </c>
      <c r="C334" s="63"/>
      <c r="D334" s="83"/>
      <c r="E334" s="44" t="str">
        <f>IF(AND(C334="",D334=""),"",C334-D334)</f>
        <v/>
      </c>
      <c r="F334" s="13"/>
      <c r="G334" s="13"/>
      <c r="H334" s="13"/>
      <c r="I334" s="13"/>
      <c r="J334" s="13"/>
      <c r="K334" s="13"/>
    </row>
    <row r="335" spans="1:11" ht="20.100000000000001" customHeight="1" x14ac:dyDescent="0.25">
      <c r="A335" s="69"/>
      <c r="B335" s="45" t="s">
        <v>74</v>
      </c>
      <c r="C335" s="63"/>
      <c r="D335" s="83"/>
      <c r="E335" s="46" t="str">
        <f>IF(AND(C335="",D335=""),"",C335-D335)</f>
        <v/>
      </c>
      <c r="F335" s="13"/>
      <c r="G335" s="13"/>
      <c r="H335" s="13"/>
      <c r="I335" s="13"/>
      <c r="J335" s="13"/>
      <c r="K335" s="13"/>
    </row>
    <row r="336" spans="1:11" ht="20.100000000000001" customHeight="1" x14ac:dyDescent="0.25">
      <c r="A336" s="69"/>
      <c r="B336" s="43" t="s">
        <v>75</v>
      </c>
      <c r="C336" s="63"/>
      <c r="D336" s="83"/>
      <c r="E336" s="44" t="str">
        <f>IF(AND(C336="",D336=""),"",C336-D336)</f>
        <v/>
      </c>
      <c r="F336" s="13"/>
      <c r="G336" s="13"/>
      <c r="H336" s="13"/>
      <c r="I336" s="13"/>
      <c r="J336" s="13"/>
      <c r="K336" s="13"/>
    </row>
    <row r="337" spans="1:11" ht="20.100000000000001" customHeight="1" x14ac:dyDescent="0.25">
      <c r="A337" s="69"/>
      <c r="B337" s="51" t="s">
        <v>76</v>
      </c>
      <c r="C337" s="52"/>
      <c r="D337" s="75"/>
      <c r="E337" s="52"/>
      <c r="F337" s="13"/>
      <c r="G337" s="13"/>
      <c r="H337" s="13"/>
      <c r="I337" s="13"/>
      <c r="J337" s="13"/>
      <c r="K337" s="13"/>
    </row>
    <row r="338" spans="1:11" ht="20.100000000000001" customHeight="1" x14ac:dyDescent="0.25">
      <c r="A338" s="69"/>
      <c r="B338" s="43" t="s">
        <v>77</v>
      </c>
      <c r="C338" s="63"/>
      <c r="D338" s="83"/>
      <c r="E338" s="44" t="str">
        <f>IF(AND(C338="",D338=""),"",C338-D338)</f>
        <v/>
      </c>
      <c r="F338" s="13"/>
      <c r="G338" s="13"/>
      <c r="H338" s="13"/>
      <c r="I338" s="13"/>
      <c r="J338" s="13"/>
      <c r="K338" s="13"/>
    </row>
    <row r="339" spans="1:11" ht="20.100000000000001" customHeight="1" x14ac:dyDescent="0.25">
      <c r="A339" s="69"/>
      <c r="B339" s="45" t="s">
        <v>78</v>
      </c>
      <c r="C339" s="63"/>
      <c r="D339" s="83"/>
      <c r="E339" s="46" t="str">
        <f>IF(AND(C339="",D339=""),"",C339-D339)</f>
        <v/>
      </c>
      <c r="F339" s="13"/>
      <c r="G339" s="13"/>
      <c r="H339" s="13"/>
      <c r="I339" s="13"/>
      <c r="J339" s="13"/>
      <c r="K339" s="13"/>
    </row>
    <row r="340" spans="1:11" ht="20.100000000000001" customHeight="1" x14ac:dyDescent="0.25">
      <c r="A340" s="69"/>
      <c r="B340" s="43" t="s">
        <v>79</v>
      </c>
      <c r="C340" s="63"/>
      <c r="D340" s="83"/>
      <c r="E340" s="65" t="str">
        <f>IF(AND(C340="",D340=""),"",C340-D340)</f>
        <v/>
      </c>
      <c r="F340" s="13"/>
      <c r="G340" s="13"/>
      <c r="H340" s="13"/>
      <c r="I340" s="13"/>
      <c r="J340" s="13"/>
      <c r="K340" s="13"/>
    </row>
    <row r="341" spans="1:11" ht="24" customHeight="1" x14ac:dyDescent="0.25">
      <c r="A341" s="69"/>
      <c r="B341" s="53" t="s">
        <v>80</v>
      </c>
      <c r="C341" s="54">
        <f>C295+C296+C297+C298+C299+C301+C302+C303+C304+C305+C307+C308+C309+C311+C312+C313+C314+C315+C317+C318+C319+C320+C322+C323+C324+C326+C327+C328+C330+C331+C332+C334+C335+C336+C338+C339+C340</f>
        <v>0</v>
      </c>
      <c r="D341" s="64">
        <f>D295+D296+D297+D298+D299+D301+D302+D303+D304+D305+D307+D308+D309+D311+D312+D313+D314+D315+D317+D318+D319+D320+D322+D323+D324+D326+D327+D328+D330+D331+D332+D334+D335+D336+D338+D339+D340</f>
        <v>0</v>
      </c>
      <c r="E341" s="103">
        <f>C341-D341</f>
        <v>0</v>
      </c>
      <c r="F341" s="13"/>
      <c r="G341" s="13"/>
      <c r="H341" s="13"/>
      <c r="I341" s="13"/>
      <c r="J341" s="13"/>
      <c r="K341" s="13"/>
    </row>
    <row r="342" spans="1:11" ht="6" customHeight="1" x14ac:dyDescent="0.25">
      <c r="A342" s="69"/>
      <c r="B342" s="68"/>
      <c r="C342" s="68"/>
      <c r="D342" s="68"/>
      <c r="E342" s="76"/>
      <c r="F342" s="13"/>
      <c r="G342" s="13"/>
      <c r="H342" s="13"/>
      <c r="I342" s="13"/>
      <c r="J342" s="13"/>
      <c r="K342" s="13"/>
    </row>
    <row r="343" spans="1:11" ht="24" customHeight="1" x14ac:dyDescent="0.25">
      <c r="A343" s="69"/>
      <c r="B343" s="55" t="s">
        <v>92</v>
      </c>
      <c r="C343" s="39"/>
      <c r="D343" s="70"/>
      <c r="E343" s="39"/>
      <c r="F343" s="13"/>
      <c r="G343" s="13"/>
      <c r="H343" s="13"/>
      <c r="I343" s="13"/>
      <c r="J343" s="13"/>
      <c r="K343" s="13"/>
    </row>
    <row r="344" spans="1:11" ht="21.95" customHeight="1" x14ac:dyDescent="0.25">
      <c r="A344" s="69"/>
      <c r="B344" s="56" t="s">
        <v>82</v>
      </c>
      <c r="C344" s="57">
        <f>C290</f>
        <v>0</v>
      </c>
      <c r="D344" s="84">
        <f>D290</f>
        <v>0</v>
      </c>
      <c r="E344" s="58"/>
      <c r="F344" s="13"/>
      <c r="G344" s="13"/>
      <c r="H344" s="13"/>
      <c r="I344" s="13"/>
      <c r="J344" s="13"/>
      <c r="K344" s="13"/>
    </row>
    <row r="345" spans="1:11" ht="21.95" customHeight="1" x14ac:dyDescent="0.25">
      <c r="A345" s="69"/>
      <c r="B345" s="56" t="s">
        <v>83</v>
      </c>
      <c r="C345" s="57">
        <f>C341</f>
        <v>0</v>
      </c>
      <c r="D345" s="84">
        <f>D341</f>
        <v>0</v>
      </c>
      <c r="E345" s="58"/>
      <c r="F345" s="13"/>
      <c r="G345" s="13"/>
      <c r="H345" s="13"/>
      <c r="I345" s="13"/>
      <c r="J345" s="13"/>
      <c r="K345" s="13"/>
    </row>
    <row r="346" spans="1:11" ht="21.95" customHeight="1" x14ac:dyDescent="0.25">
      <c r="A346" s="69"/>
      <c r="B346" s="59" t="s">
        <v>84</v>
      </c>
      <c r="C346" s="60">
        <f>C344-C345</f>
        <v>0</v>
      </c>
      <c r="D346" s="85">
        <f>D290-D341</f>
        <v>0</v>
      </c>
      <c r="E346" s="61"/>
      <c r="F346" s="13"/>
      <c r="G346" s="13"/>
      <c r="H346" s="13"/>
      <c r="I346" s="13"/>
      <c r="J346" s="13"/>
      <c r="K346" s="13"/>
    </row>
    <row r="347" spans="1:11" ht="21.95" customHeight="1" x14ac:dyDescent="0.25">
      <c r="A347" s="69"/>
      <c r="B347" s="78" t="s">
        <v>5</v>
      </c>
      <c r="C347" s="79" t="str">
        <f>IF(C344=0,"",1-C345/C344)</f>
        <v/>
      </c>
      <c r="D347" s="86" t="str">
        <f>IF(D290=0,"",1-D341/D290)</f>
        <v/>
      </c>
      <c r="E347" s="87"/>
      <c r="F347" s="13"/>
      <c r="G347" s="13"/>
      <c r="H347" s="13"/>
      <c r="I347" s="13"/>
      <c r="J347" s="13"/>
      <c r="K347" s="13"/>
    </row>
    <row r="348" spans="1:11" ht="6" customHeight="1" x14ac:dyDescent="0.25">
      <c r="A348" s="69"/>
      <c r="B348" s="69"/>
      <c r="C348" s="69"/>
      <c r="D348" s="69"/>
      <c r="E348" s="77"/>
      <c r="F348" s="13"/>
      <c r="G348" s="13"/>
      <c r="H348" s="13"/>
      <c r="I348" s="13"/>
      <c r="J348" s="13"/>
      <c r="K348" s="13"/>
    </row>
    <row r="349" spans="1:11" ht="6" customHeight="1" x14ac:dyDescent="0.25">
      <c r="A349" s="69"/>
      <c r="B349" s="69"/>
      <c r="C349" s="69"/>
      <c r="D349" s="69"/>
      <c r="E349" s="77"/>
      <c r="F349" s="13"/>
      <c r="G349" s="13"/>
      <c r="H349" s="13"/>
      <c r="I349" s="13"/>
      <c r="J349" s="13"/>
      <c r="K349" s="13"/>
    </row>
    <row r="350" spans="1:11" ht="6" customHeight="1" x14ac:dyDescent="0.25">
      <c r="A350" s="69"/>
      <c r="B350" s="69"/>
      <c r="C350" s="69"/>
      <c r="D350" s="69"/>
      <c r="E350" s="77"/>
      <c r="F350" s="13"/>
      <c r="G350" s="13"/>
      <c r="H350" s="13"/>
      <c r="I350" s="13"/>
      <c r="J350" s="13"/>
      <c r="K350" s="13"/>
    </row>
    <row r="351" spans="1:11" ht="32.1" customHeight="1" x14ac:dyDescent="0.25">
      <c r="A351" s="69"/>
      <c r="B351" s="80" t="s">
        <v>93</v>
      </c>
      <c r="C351" s="81"/>
      <c r="D351" s="82"/>
      <c r="E351" s="81"/>
      <c r="F351" s="13"/>
      <c r="G351" s="13"/>
      <c r="H351" s="13"/>
      <c r="I351" s="13"/>
      <c r="J351" s="13"/>
      <c r="K351" s="13"/>
    </row>
    <row r="352" spans="1:11" ht="6" customHeight="1" x14ac:dyDescent="0.25">
      <c r="A352" s="69"/>
      <c r="B352" s="37"/>
      <c r="C352" s="37"/>
      <c r="D352" s="37"/>
      <c r="E352" s="66"/>
      <c r="F352" s="13"/>
      <c r="G352" s="13"/>
      <c r="H352" s="13"/>
      <c r="I352" s="13"/>
      <c r="J352" s="13"/>
      <c r="K352" s="13"/>
    </row>
    <row r="353" spans="1:11" ht="24" customHeight="1" x14ac:dyDescent="0.25">
      <c r="A353" s="69"/>
      <c r="B353" s="40" t="s">
        <v>22</v>
      </c>
      <c r="C353" s="41"/>
      <c r="D353" s="71"/>
      <c r="E353" s="41"/>
      <c r="F353" s="13"/>
      <c r="G353" s="13"/>
      <c r="H353" s="13"/>
      <c r="I353" s="13"/>
      <c r="J353" s="13"/>
      <c r="K353" s="13"/>
    </row>
    <row r="354" spans="1:11" ht="21.95" customHeight="1" x14ac:dyDescent="0.25">
      <c r="A354" s="69"/>
      <c r="B354" s="42" t="s">
        <v>20</v>
      </c>
      <c r="C354" s="42" t="s">
        <v>23</v>
      </c>
      <c r="D354" s="72" t="s">
        <v>24</v>
      </c>
      <c r="E354" s="42" t="s">
        <v>25</v>
      </c>
      <c r="F354" s="13"/>
      <c r="G354" s="13"/>
      <c r="H354" s="13"/>
      <c r="I354" s="13"/>
      <c r="J354" s="13"/>
      <c r="K354" s="13"/>
    </row>
    <row r="355" spans="1:11" ht="20.100000000000001" customHeight="1" x14ac:dyDescent="0.25">
      <c r="A355" s="69"/>
      <c r="B355" s="43" t="s">
        <v>26</v>
      </c>
      <c r="C355" s="63"/>
      <c r="D355" s="83"/>
      <c r="E355" s="44" t="str">
        <f>IF(AND(C355="",D355=""),"",D355-C355)</f>
        <v/>
      </c>
      <c r="F355" s="13"/>
      <c r="G355" s="13"/>
      <c r="H355" s="13"/>
      <c r="I355" s="13"/>
      <c r="J355" s="13"/>
      <c r="K355" s="13"/>
    </row>
    <row r="356" spans="1:11" ht="20.100000000000001" customHeight="1" x14ac:dyDescent="0.25">
      <c r="A356" s="69"/>
      <c r="B356" s="45" t="s">
        <v>27</v>
      </c>
      <c r="C356" s="63"/>
      <c r="D356" s="83"/>
      <c r="E356" s="46" t="str">
        <f>IF(AND(C356="",D356=""),"",D356-C356)</f>
        <v/>
      </c>
      <c r="F356" s="13"/>
      <c r="G356" s="13"/>
      <c r="H356" s="13"/>
      <c r="I356" s="13"/>
      <c r="J356" s="13"/>
      <c r="K356" s="13"/>
    </row>
    <row r="357" spans="1:11" ht="20.100000000000001" customHeight="1" x14ac:dyDescent="0.25">
      <c r="A357" s="69"/>
      <c r="B357" s="43" t="s">
        <v>28</v>
      </c>
      <c r="C357" s="63"/>
      <c r="D357" s="83"/>
      <c r="E357" s="44" t="str">
        <f>IF(AND(C357="",D357=""),"",D357-C357)</f>
        <v/>
      </c>
      <c r="F357" s="13"/>
      <c r="G357" s="13"/>
      <c r="H357" s="13"/>
      <c r="I357" s="13"/>
      <c r="J357" s="13"/>
      <c r="K357" s="13"/>
    </row>
    <row r="358" spans="1:11" ht="20.100000000000001" customHeight="1" x14ac:dyDescent="0.25">
      <c r="A358" s="69"/>
      <c r="B358" s="45" t="s">
        <v>29</v>
      </c>
      <c r="C358" s="63"/>
      <c r="D358" s="83"/>
      <c r="E358" s="46" t="str">
        <f>IF(AND(C358="",D358=""),"",D358-C358)</f>
        <v/>
      </c>
      <c r="F358" s="13"/>
      <c r="G358" s="13"/>
      <c r="H358" s="13"/>
      <c r="I358" s="13"/>
      <c r="J358" s="13"/>
      <c r="K358" s="13"/>
    </row>
    <row r="359" spans="1:11" ht="20.100000000000001" customHeight="1" x14ac:dyDescent="0.25">
      <c r="A359" s="69"/>
      <c r="B359" s="43" t="s">
        <v>30</v>
      </c>
      <c r="C359" s="63"/>
      <c r="D359" s="83"/>
      <c r="E359" s="44" t="str">
        <f>IF(AND(C359="",D359=""),"",D359-C359)</f>
        <v/>
      </c>
      <c r="F359" s="13"/>
      <c r="G359" s="13"/>
      <c r="H359" s="13"/>
      <c r="I359" s="13"/>
      <c r="J359" s="13"/>
      <c r="K359" s="13"/>
    </row>
    <row r="360" spans="1:11" ht="24" customHeight="1" x14ac:dyDescent="0.25">
      <c r="A360" s="69"/>
      <c r="B360" s="47" t="s">
        <v>31</v>
      </c>
      <c r="C360" s="48">
        <f>SUM(C355:C359)</f>
        <v>0</v>
      </c>
      <c r="D360" s="73">
        <f>SUM(D355:D359)</f>
        <v>0</v>
      </c>
      <c r="E360" s="48">
        <f>D360-C360</f>
        <v>0</v>
      </c>
      <c r="F360" s="13"/>
      <c r="G360" s="13"/>
      <c r="H360" s="13"/>
      <c r="I360" s="13"/>
      <c r="J360" s="13"/>
      <c r="K360" s="13"/>
    </row>
    <row r="361" spans="1:11" ht="6" customHeight="1" x14ac:dyDescent="0.25">
      <c r="A361" s="69"/>
      <c r="B361" s="68"/>
      <c r="C361" s="68"/>
      <c r="D361" s="68"/>
      <c r="E361" s="76"/>
      <c r="F361" s="13"/>
      <c r="G361" s="13"/>
      <c r="H361" s="13"/>
      <c r="I361" s="13"/>
      <c r="J361" s="13"/>
      <c r="K361" s="13"/>
    </row>
    <row r="362" spans="1:11" ht="24" customHeight="1" x14ac:dyDescent="0.25">
      <c r="A362" s="69"/>
      <c r="B362" s="49" t="s">
        <v>32</v>
      </c>
      <c r="C362" s="50"/>
      <c r="D362" s="74"/>
      <c r="E362" s="50"/>
      <c r="F362" s="13"/>
      <c r="G362" s="13"/>
      <c r="H362" s="13"/>
      <c r="I362" s="13"/>
      <c r="J362" s="13"/>
      <c r="K362" s="13"/>
    </row>
    <row r="363" spans="1:11" ht="21.95" customHeight="1" x14ac:dyDescent="0.25">
      <c r="A363" s="69"/>
      <c r="B363" s="42" t="s">
        <v>20</v>
      </c>
      <c r="C363" s="42" t="s">
        <v>23</v>
      </c>
      <c r="D363" s="72" t="s">
        <v>24</v>
      </c>
      <c r="E363" s="42" t="s">
        <v>25</v>
      </c>
      <c r="F363" s="13"/>
      <c r="G363" s="13"/>
      <c r="H363" s="13"/>
      <c r="I363" s="13"/>
      <c r="J363" s="13"/>
      <c r="K363" s="13"/>
    </row>
    <row r="364" spans="1:11" ht="20.100000000000001" customHeight="1" x14ac:dyDescent="0.25">
      <c r="A364" s="69"/>
      <c r="B364" s="51" t="s">
        <v>33</v>
      </c>
      <c r="C364" s="52"/>
      <c r="D364" s="75"/>
      <c r="E364" s="52"/>
      <c r="F364" s="13"/>
      <c r="G364" s="13"/>
      <c r="H364" s="13"/>
      <c r="I364" s="13"/>
      <c r="J364" s="13"/>
      <c r="K364" s="13"/>
    </row>
    <row r="365" spans="1:11" ht="20.100000000000001" customHeight="1" x14ac:dyDescent="0.25">
      <c r="A365" s="69"/>
      <c r="B365" s="43" t="s">
        <v>34</v>
      </c>
      <c r="C365" s="63"/>
      <c r="D365" s="83"/>
      <c r="E365" s="44" t="str">
        <f>IF(AND(C365="",D365=""),"",C365-D365)</f>
        <v/>
      </c>
      <c r="F365" s="13"/>
      <c r="G365" s="13"/>
      <c r="H365" s="13"/>
      <c r="I365" s="13"/>
      <c r="J365" s="13"/>
      <c r="K365" s="13"/>
    </row>
    <row r="366" spans="1:11" ht="20.100000000000001" customHeight="1" x14ac:dyDescent="0.25">
      <c r="A366" s="69"/>
      <c r="B366" s="45" t="s">
        <v>35</v>
      </c>
      <c r="C366" s="63"/>
      <c r="D366" s="83"/>
      <c r="E366" s="46" t="str">
        <f>IF(AND(C366="",D366=""),"",C366-D366)</f>
        <v/>
      </c>
      <c r="F366" s="13"/>
      <c r="G366" s="13"/>
      <c r="H366" s="13"/>
      <c r="I366" s="13"/>
      <c r="J366" s="13"/>
      <c r="K366" s="13"/>
    </row>
    <row r="367" spans="1:11" ht="20.100000000000001" customHeight="1" x14ac:dyDescent="0.25">
      <c r="A367" s="69"/>
      <c r="B367" s="43" t="s">
        <v>36</v>
      </c>
      <c r="C367" s="63"/>
      <c r="D367" s="83"/>
      <c r="E367" s="44" t="str">
        <f>IF(AND(C367="",D367=""),"",C367-D367)</f>
        <v/>
      </c>
      <c r="F367" s="13"/>
      <c r="G367" s="13"/>
      <c r="H367" s="13"/>
      <c r="I367" s="13"/>
      <c r="J367" s="13"/>
      <c r="K367" s="13"/>
    </row>
    <row r="368" spans="1:11" ht="20.100000000000001" customHeight="1" x14ac:dyDescent="0.25">
      <c r="A368" s="69"/>
      <c r="B368" s="45" t="s">
        <v>37</v>
      </c>
      <c r="C368" s="63"/>
      <c r="D368" s="83"/>
      <c r="E368" s="46" t="str">
        <f>IF(AND(C368="",D368=""),"",C368-D368)</f>
        <v/>
      </c>
      <c r="F368" s="13"/>
      <c r="G368" s="13"/>
      <c r="H368" s="13"/>
      <c r="I368" s="13"/>
      <c r="J368" s="13"/>
      <c r="K368" s="13"/>
    </row>
    <row r="369" spans="1:11" ht="20.100000000000001" customHeight="1" x14ac:dyDescent="0.25">
      <c r="A369" s="69"/>
      <c r="B369" s="43" t="s">
        <v>38</v>
      </c>
      <c r="C369" s="63"/>
      <c r="D369" s="83"/>
      <c r="E369" s="44" t="str">
        <f>IF(AND(C369="",D369=""),"",C369-D369)</f>
        <v/>
      </c>
      <c r="F369" s="13"/>
      <c r="G369" s="13"/>
      <c r="H369" s="13"/>
      <c r="I369" s="13"/>
      <c r="J369" s="13"/>
      <c r="K369" s="13"/>
    </row>
    <row r="370" spans="1:11" ht="20.100000000000001" customHeight="1" x14ac:dyDescent="0.25">
      <c r="A370" s="69"/>
      <c r="B370" s="51" t="s">
        <v>39</v>
      </c>
      <c r="C370" s="52"/>
      <c r="D370" s="75"/>
      <c r="E370" s="52"/>
      <c r="F370" s="13"/>
      <c r="G370" s="13"/>
      <c r="H370" s="13"/>
      <c r="I370" s="13"/>
      <c r="J370" s="13"/>
      <c r="K370" s="13"/>
    </row>
    <row r="371" spans="1:11" ht="20.100000000000001" customHeight="1" x14ac:dyDescent="0.25">
      <c r="A371" s="69"/>
      <c r="B371" s="43" t="s">
        <v>40</v>
      </c>
      <c r="C371" s="63"/>
      <c r="D371" s="83"/>
      <c r="E371" s="44" t="str">
        <f>IF(AND(C371="",D371=""),"",C371-D371)</f>
        <v/>
      </c>
      <c r="F371" s="13"/>
      <c r="G371" s="13"/>
      <c r="H371" s="13"/>
      <c r="I371" s="13"/>
      <c r="J371" s="13"/>
      <c r="K371" s="13"/>
    </row>
    <row r="372" spans="1:11" ht="20.100000000000001" customHeight="1" x14ac:dyDescent="0.25">
      <c r="A372" s="69"/>
      <c r="B372" s="45" t="s">
        <v>41</v>
      </c>
      <c r="C372" s="63"/>
      <c r="D372" s="83"/>
      <c r="E372" s="46" t="str">
        <f>IF(AND(C372="",D372=""),"",C372-D372)</f>
        <v/>
      </c>
      <c r="F372" s="13"/>
      <c r="G372" s="13"/>
      <c r="H372" s="13"/>
      <c r="I372" s="13"/>
      <c r="J372" s="13"/>
      <c r="K372" s="13"/>
    </row>
    <row r="373" spans="1:11" ht="20.100000000000001" customHeight="1" x14ac:dyDescent="0.25">
      <c r="A373" s="69"/>
      <c r="B373" s="43" t="s">
        <v>42</v>
      </c>
      <c r="C373" s="63"/>
      <c r="D373" s="83"/>
      <c r="E373" s="44" t="str">
        <f>IF(AND(C373="",D373=""),"",C373-D373)</f>
        <v/>
      </c>
      <c r="F373" s="13"/>
      <c r="G373" s="13"/>
      <c r="H373" s="13"/>
      <c r="I373" s="13"/>
      <c r="J373" s="13"/>
      <c r="K373" s="13"/>
    </row>
    <row r="374" spans="1:11" ht="20.100000000000001" customHeight="1" x14ac:dyDescent="0.25">
      <c r="A374" s="69"/>
      <c r="B374" s="45" t="s">
        <v>43</v>
      </c>
      <c r="C374" s="63"/>
      <c r="D374" s="83"/>
      <c r="E374" s="46" t="str">
        <f>IF(AND(C374="",D374=""),"",C374-D374)</f>
        <v/>
      </c>
      <c r="F374" s="13"/>
      <c r="G374" s="13"/>
      <c r="H374" s="13"/>
      <c r="I374" s="13"/>
      <c r="J374" s="13"/>
      <c r="K374" s="13"/>
    </row>
    <row r="375" spans="1:11" ht="20.100000000000001" customHeight="1" x14ac:dyDescent="0.25">
      <c r="A375" s="69"/>
      <c r="B375" s="43" t="s">
        <v>44</v>
      </c>
      <c r="C375" s="63"/>
      <c r="D375" s="83"/>
      <c r="E375" s="44" t="str">
        <f>IF(AND(C375="",D375=""),"",C375-D375)</f>
        <v/>
      </c>
      <c r="F375" s="13"/>
      <c r="G375" s="13"/>
      <c r="H375" s="13"/>
      <c r="I375" s="13"/>
      <c r="J375" s="13"/>
      <c r="K375" s="13"/>
    </row>
    <row r="376" spans="1:11" ht="20.100000000000001" customHeight="1" x14ac:dyDescent="0.25">
      <c r="A376" s="69"/>
      <c r="B376" s="51" t="s">
        <v>45</v>
      </c>
      <c r="C376" s="52"/>
      <c r="D376" s="75"/>
      <c r="E376" s="52"/>
      <c r="F376" s="13"/>
      <c r="G376" s="13"/>
      <c r="H376" s="13"/>
      <c r="I376" s="13"/>
      <c r="J376" s="13"/>
      <c r="K376" s="13"/>
    </row>
    <row r="377" spans="1:11" ht="20.100000000000001" customHeight="1" x14ac:dyDescent="0.25">
      <c r="A377" s="69"/>
      <c r="B377" s="43" t="s">
        <v>46</v>
      </c>
      <c r="C377" s="63"/>
      <c r="D377" s="83"/>
      <c r="E377" s="44" t="str">
        <f>IF(AND(C377="",D377=""),"",C377-D377)</f>
        <v/>
      </c>
      <c r="F377" s="13"/>
      <c r="G377" s="13"/>
      <c r="H377" s="13"/>
      <c r="I377" s="13"/>
      <c r="J377" s="13"/>
      <c r="K377" s="13"/>
    </row>
    <row r="378" spans="1:11" ht="20.100000000000001" customHeight="1" x14ac:dyDescent="0.25">
      <c r="A378" s="69"/>
      <c r="B378" s="45" t="s">
        <v>47</v>
      </c>
      <c r="C378" s="63"/>
      <c r="D378" s="83"/>
      <c r="E378" s="46" t="str">
        <f>IF(AND(C378="",D378=""),"",C378-D378)</f>
        <v/>
      </c>
      <c r="F378" s="13"/>
      <c r="G378" s="13"/>
      <c r="H378" s="13"/>
      <c r="I378" s="13"/>
      <c r="J378" s="13"/>
      <c r="K378" s="13"/>
    </row>
    <row r="379" spans="1:11" ht="20.100000000000001" customHeight="1" x14ac:dyDescent="0.25">
      <c r="A379" s="69"/>
      <c r="B379" s="43" t="s">
        <v>48</v>
      </c>
      <c r="C379" s="63"/>
      <c r="D379" s="83"/>
      <c r="E379" s="44" t="str">
        <f>IF(AND(C379="",D379=""),"",C379-D379)</f>
        <v/>
      </c>
      <c r="F379" s="13"/>
      <c r="G379" s="13"/>
      <c r="H379" s="13"/>
      <c r="I379" s="13"/>
      <c r="J379" s="13"/>
      <c r="K379" s="13"/>
    </row>
    <row r="380" spans="1:11" ht="20.100000000000001" customHeight="1" x14ac:dyDescent="0.25">
      <c r="A380" s="69"/>
      <c r="B380" s="51" t="s">
        <v>49</v>
      </c>
      <c r="C380" s="52"/>
      <c r="D380" s="75"/>
      <c r="E380" s="52"/>
      <c r="F380" s="13"/>
      <c r="G380" s="13"/>
      <c r="H380" s="13"/>
      <c r="I380" s="13"/>
      <c r="J380" s="13"/>
      <c r="K380" s="13"/>
    </row>
    <row r="381" spans="1:11" ht="20.100000000000001" customHeight="1" x14ac:dyDescent="0.25">
      <c r="A381" s="69"/>
      <c r="B381" s="43" t="s">
        <v>50</v>
      </c>
      <c r="C381" s="63"/>
      <c r="D381" s="83"/>
      <c r="E381" s="44" t="str">
        <f>IF(AND(C381="",D381=""),"",C381-D381)</f>
        <v/>
      </c>
      <c r="F381" s="13"/>
      <c r="G381" s="13"/>
      <c r="H381" s="13"/>
      <c r="I381" s="13"/>
      <c r="J381" s="13"/>
      <c r="K381" s="13"/>
    </row>
    <row r="382" spans="1:11" ht="20.100000000000001" customHeight="1" x14ac:dyDescent="0.25">
      <c r="A382" s="69"/>
      <c r="B382" s="45" t="s">
        <v>51</v>
      </c>
      <c r="C382" s="63"/>
      <c r="D382" s="83"/>
      <c r="E382" s="46" t="str">
        <f>IF(AND(C382="",D382=""),"",C382-D382)</f>
        <v/>
      </c>
      <c r="F382" s="13"/>
      <c r="G382" s="13"/>
      <c r="H382" s="13"/>
      <c r="I382" s="13"/>
      <c r="J382" s="13"/>
      <c r="K382" s="13"/>
    </row>
    <row r="383" spans="1:11" ht="20.100000000000001" customHeight="1" x14ac:dyDescent="0.25">
      <c r="A383" s="69"/>
      <c r="B383" s="43" t="s">
        <v>52</v>
      </c>
      <c r="C383" s="63"/>
      <c r="D383" s="83"/>
      <c r="E383" s="44" t="str">
        <f>IF(AND(C383="",D383=""),"",C383-D383)</f>
        <v/>
      </c>
      <c r="F383" s="13"/>
      <c r="G383" s="13"/>
      <c r="H383" s="13"/>
      <c r="I383" s="13"/>
      <c r="J383" s="13"/>
      <c r="K383" s="13"/>
    </row>
    <row r="384" spans="1:11" ht="20.100000000000001" customHeight="1" x14ac:dyDescent="0.25">
      <c r="A384" s="69"/>
      <c r="B384" s="45" t="s">
        <v>53</v>
      </c>
      <c r="C384" s="63"/>
      <c r="D384" s="83"/>
      <c r="E384" s="46" t="str">
        <f>IF(AND(C384="",D384=""),"",C384-D384)</f>
        <v/>
      </c>
      <c r="F384" s="13"/>
      <c r="G384" s="13"/>
      <c r="H384" s="13"/>
      <c r="I384" s="13"/>
      <c r="J384" s="13"/>
      <c r="K384" s="13"/>
    </row>
    <row r="385" spans="1:11" ht="20.100000000000001" customHeight="1" x14ac:dyDescent="0.25">
      <c r="A385" s="69"/>
      <c r="B385" s="43" t="s">
        <v>54</v>
      </c>
      <c r="C385" s="63"/>
      <c r="D385" s="83"/>
      <c r="E385" s="44" t="str">
        <f>IF(AND(C385="",D385=""),"",C385-D385)</f>
        <v/>
      </c>
      <c r="F385" s="13"/>
      <c r="G385" s="13"/>
      <c r="H385" s="13"/>
      <c r="I385" s="13"/>
      <c r="J385" s="13"/>
      <c r="K385" s="13"/>
    </row>
    <row r="386" spans="1:11" ht="20.100000000000001" customHeight="1" x14ac:dyDescent="0.25">
      <c r="A386" s="69"/>
      <c r="B386" s="51" t="s">
        <v>55</v>
      </c>
      <c r="C386" s="52"/>
      <c r="D386" s="75"/>
      <c r="E386" s="52"/>
      <c r="F386" s="13"/>
      <c r="G386" s="13"/>
      <c r="H386" s="13"/>
      <c r="I386" s="13"/>
      <c r="J386" s="13"/>
      <c r="K386" s="13"/>
    </row>
    <row r="387" spans="1:11" ht="20.100000000000001" customHeight="1" x14ac:dyDescent="0.25">
      <c r="A387" s="69"/>
      <c r="B387" s="43" t="s">
        <v>56</v>
      </c>
      <c r="C387" s="63"/>
      <c r="D387" s="83"/>
      <c r="E387" s="44" t="str">
        <f>IF(AND(C387="",D387=""),"",C387-D387)</f>
        <v/>
      </c>
      <c r="F387" s="13"/>
      <c r="G387" s="13"/>
      <c r="H387" s="13"/>
      <c r="I387" s="13"/>
      <c r="J387" s="13"/>
      <c r="K387" s="13"/>
    </row>
    <row r="388" spans="1:11" ht="20.100000000000001" customHeight="1" x14ac:dyDescent="0.25">
      <c r="A388" s="69"/>
      <c r="B388" s="45" t="s">
        <v>57</v>
      </c>
      <c r="C388" s="63"/>
      <c r="D388" s="83"/>
      <c r="E388" s="46" t="str">
        <f>IF(AND(C388="",D388=""),"",C388-D388)</f>
        <v/>
      </c>
      <c r="F388" s="13"/>
      <c r="G388" s="13"/>
      <c r="H388" s="13"/>
      <c r="I388" s="13"/>
      <c r="J388" s="13"/>
      <c r="K388" s="13"/>
    </row>
    <row r="389" spans="1:11" ht="20.100000000000001" customHeight="1" x14ac:dyDescent="0.25">
      <c r="A389" s="69"/>
      <c r="B389" s="43" t="s">
        <v>58</v>
      </c>
      <c r="C389" s="63"/>
      <c r="D389" s="83"/>
      <c r="E389" s="44" t="str">
        <f>IF(AND(C389="",D389=""),"",C389-D389)</f>
        <v/>
      </c>
      <c r="F389" s="13"/>
      <c r="G389" s="13"/>
      <c r="H389" s="13"/>
      <c r="I389" s="13"/>
      <c r="J389" s="13"/>
      <c r="K389" s="13"/>
    </row>
    <row r="390" spans="1:11" ht="20.100000000000001" customHeight="1" x14ac:dyDescent="0.25">
      <c r="A390" s="69"/>
      <c r="B390" s="45" t="s">
        <v>59</v>
      </c>
      <c r="C390" s="63"/>
      <c r="D390" s="83"/>
      <c r="E390" s="46" t="str">
        <f>IF(AND(C390="",D390=""),"",C390-D390)</f>
        <v/>
      </c>
      <c r="F390" s="13"/>
      <c r="G390" s="13"/>
      <c r="H390" s="13"/>
      <c r="I390" s="13"/>
      <c r="J390" s="13"/>
      <c r="K390" s="13"/>
    </row>
    <row r="391" spans="1:11" ht="20.100000000000001" customHeight="1" x14ac:dyDescent="0.25">
      <c r="A391" s="69"/>
      <c r="B391" s="51" t="s">
        <v>60</v>
      </c>
      <c r="C391" s="52"/>
      <c r="D391" s="75"/>
      <c r="E391" s="52"/>
      <c r="F391" s="13"/>
      <c r="G391" s="13"/>
      <c r="H391" s="13"/>
      <c r="I391" s="13"/>
      <c r="J391" s="13"/>
      <c r="K391" s="13"/>
    </row>
    <row r="392" spans="1:11" ht="20.100000000000001" customHeight="1" x14ac:dyDescent="0.25">
      <c r="A392" s="69"/>
      <c r="B392" s="43" t="s">
        <v>61</v>
      </c>
      <c r="C392" s="63"/>
      <c r="D392" s="83"/>
      <c r="E392" s="44" t="str">
        <f>IF(AND(C392="",D392=""),"",C392-D392)</f>
        <v/>
      </c>
      <c r="F392" s="13"/>
      <c r="G392" s="13"/>
      <c r="H392" s="13"/>
      <c r="I392" s="13"/>
      <c r="J392" s="13"/>
      <c r="K392" s="13"/>
    </row>
    <row r="393" spans="1:11" ht="20.100000000000001" customHeight="1" x14ac:dyDescent="0.25">
      <c r="A393" s="69"/>
      <c r="B393" s="45" t="s">
        <v>62</v>
      </c>
      <c r="C393" s="63"/>
      <c r="D393" s="83"/>
      <c r="E393" s="46" t="str">
        <f>IF(AND(C393="",D393=""),"",C393-D393)</f>
        <v/>
      </c>
      <c r="F393" s="13"/>
      <c r="G393" s="13"/>
      <c r="H393" s="13"/>
      <c r="I393" s="13"/>
      <c r="J393" s="13"/>
      <c r="K393" s="13"/>
    </row>
    <row r="394" spans="1:11" ht="20.100000000000001" customHeight="1" x14ac:dyDescent="0.25">
      <c r="A394" s="69"/>
      <c r="B394" s="43" t="s">
        <v>63</v>
      </c>
      <c r="C394" s="63"/>
      <c r="D394" s="83"/>
      <c r="E394" s="44" t="str">
        <f>IF(AND(C394="",D394=""),"",C394-D394)</f>
        <v/>
      </c>
      <c r="F394" s="13"/>
      <c r="G394" s="13"/>
      <c r="H394" s="13"/>
      <c r="I394" s="13"/>
      <c r="J394" s="13"/>
      <c r="K394" s="13"/>
    </row>
    <row r="395" spans="1:11" ht="20.100000000000001" customHeight="1" x14ac:dyDescent="0.25">
      <c r="A395" s="69"/>
      <c r="B395" s="51" t="s">
        <v>64</v>
      </c>
      <c r="C395" s="52"/>
      <c r="D395" s="75"/>
      <c r="E395" s="52"/>
      <c r="F395" s="13"/>
      <c r="G395" s="13"/>
      <c r="H395" s="13"/>
      <c r="I395" s="13"/>
      <c r="J395" s="13"/>
      <c r="K395" s="13"/>
    </row>
    <row r="396" spans="1:11" ht="20.100000000000001" customHeight="1" x14ac:dyDescent="0.25">
      <c r="A396" s="69"/>
      <c r="B396" s="43" t="s">
        <v>65</v>
      </c>
      <c r="C396" s="63"/>
      <c r="D396" s="83"/>
      <c r="E396" s="44" t="str">
        <f>IF(AND(C396="",D396=""),"",C396-D396)</f>
        <v/>
      </c>
      <c r="F396" s="13"/>
      <c r="G396" s="13"/>
      <c r="H396" s="13"/>
      <c r="I396" s="13"/>
      <c r="J396" s="13"/>
      <c r="K396" s="13"/>
    </row>
    <row r="397" spans="1:11" ht="20.100000000000001" customHeight="1" x14ac:dyDescent="0.25">
      <c r="A397" s="69"/>
      <c r="B397" s="45" t="s">
        <v>66</v>
      </c>
      <c r="C397" s="63"/>
      <c r="D397" s="83"/>
      <c r="E397" s="46" t="str">
        <f>IF(AND(C397="",D397=""),"",C397-D397)</f>
        <v/>
      </c>
      <c r="F397" s="13"/>
      <c r="G397" s="13"/>
      <c r="H397" s="13"/>
      <c r="I397" s="13"/>
      <c r="J397" s="13"/>
      <c r="K397" s="13"/>
    </row>
    <row r="398" spans="1:11" ht="20.100000000000001" customHeight="1" x14ac:dyDescent="0.25">
      <c r="A398" s="69"/>
      <c r="B398" s="43" t="s">
        <v>67</v>
      </c>
      <c r="C398" s="63"/>
      <c r="D398" s="83"/>
      <c r="E398" s="44" t="str">
        <f>IF(AND(C398="",D398=""),"",C398-D398)</f>
        <v/>
      </c>
      <c r="F398" s="13"/>
      <c r="G398" s="13"/>
      <c r="H398" s="13"/>
      <c r="I398" s="13"/>
      <c r="J398" s="13"/>
      <c r="K398" s="13"/>
    </row>
    <row r="399" spans="1:11" ht="20.100000000000001" customHeight="1" x14ac:dyDescent="0.25">
      <c r="A399" s="69"/>
      <c r="B399" s="51" t="s">
        <v>68</v>
      </c>
      <c r="C399" s="52"/>
      <c r="D399" s="75"/>
      <c r="E399" s="52"/>
      <c r="F399" s="13"/>
      <c r="G399" s="13"/>
      <c r="H399" s="13"/>
      <c r="I399" s="13"/>
      <c r="J399" s="13"/>
      <c r="K399" s="13"/>
    </row>
    <row r="400" spans="1:11" ht="20.100000000000001" customHeight="1" x14ac:dyDescent="0.25">
      <c r="A400" s="69"/>
      <c r="B400" s="43" t="s">
        <v>69</v>
      </c>
      <c r="C400" s="63"/>
      <c r="D400" s="83"/>
      <c r="E400" s="44" t="str">
        <f>IF(AND(C400="",D400=""),"",C400-D400)</f>
        <v/>
      </c>
      <c r="F400" s="13"/>
      <c r="G400" s="13"/>
      <c r="H400" s="13"/>
      <c r="I400" s="13"/>
      <c r="J400" s="13"/>
      <c r="K400" s="13"/>
    </row>
    <row r="401" spans="1:11" ht="20.100000000000001" customHeight="1" x14ac:dyDescent="0.25">
      <c r="A401" s="69"/>
      <c r="B401" s="45" t="s">
        <v>70</v>
      </c>
      <c r="C401" s="63"/>
      <c r="D401" s="83"/>
      <c r="E401" s="46" t="str">
        <f>IF(AND(C401="",D401=""),"",C401-D401)</f>
        <v/>
      </c>
      <c r="F401" s="13"/>
      <c r="G401" s="13"/>
      <c r="H401" s="13"/>
      <c r="I401" s="13"/>
      <c r="J401" s="13"/>
      <c r="K401" s="13"/>
    </row>
    <row r="402" spans="1:11" ht="20.100000000000001" customHeight="1" x14ac:dyDescent="0.25">
      <c r="A402" s="69"/>
      <c r="B402" s="43" t="s">
        <v>71</v>
      </c>
      <c r="C402" s="63"/>
      <c r="D402" s="83"/>
      <c r="E402" s="44" t="str">
        <f>IF(AND(C402="",D402=""),"",C402-D402)</f>
        <v/>
      </c>
      <c r="F402" s="13"/>
      <c r="G402" s="13"/>
      <c r="H402" s="13"/>
      <c r="I402" s="13"/>
      <c r="J402" s="13"/>
      <c r="K402" s="13"/>
    </row>
    <row r="403" spans="1:11" ht="20.100000000000001" customHeight="1" x14ac:dyDescent="0.25">
      <c r="A403" s="69"/>
      <c r="B403" s="51" t="s">
        <v>72</v>
      </c>
      <c r="C403" s="52"/>
      <c r="D403" s="75"/>
      <c r="E403" s="52"/>
      <c r="F403" s="13"/>
      <c r="G403" s="13"/>
      <c r="H403" s="13"/>
      <c r="I403" s="13"/>
      <c r="J403" s="13"/>
      <c r="K403" s="13"/>
    </row>
    <row r="404" spans="1:11" ht="20.100000000000001" customHeight="1" x14ac:dyDescent="0.25">
      <c r="A404" s="69"/>
      <c r="B404" s="43" t="s">
        <v>73</v>
      </c>
      <c r="C404" s="63"/>
      <c r="D404" s="83"/>
      <c r="E404" s="44" t="str">
        <f>IF(AND(C404="",D404=""),"",C404-D404)</f>
        <v/>
      </c>
      <c r="F404" s="13"/>
      <c r="G404" s="13"/>
      <c r="H404" s="13"/>
      <c r="I404" s="13"/>
      <c r="J404" s="13"/>
      <c r="K404" s="13"/>
    </row>
    <row r="405" spans="1:11" ht="20.100000000000001" customHeight="1" x14ac:dyDescent="0.25">
      <c r="A405" s="69"/>
      <c r="B405" s="45" t="s">
        <v>74</v>
      </c>
      <c r="C405" s="63"/>
      <c r="D405" s="83"/>
      <c r="E405" s="46" t="str">
        <f>IF(AND(C405="",D405=""),"",C405-D405)</f>
        <v/>
      </c>
      <c r="F405" s="13"/>
      <c r="G405" s="13"/>
      <c r="H405" s="13"/>
      <c r="I405" s="13"/>
      <c r="J405" s="13"/>
      <c r="K405" s="13"/>
    </row>
    <row r="406" spans="1:11" ht="20.100000000000001" customHeight="1" x14ac:dyDescent="0.25">
      <c r="A406" s="69"/>
      <c r="B406" s="43" t="s">
        <v>75</v>
      </c>
      <c r="C406" s="63"/>
      <c r="D406" s="83"/>
      <c r="E406" s="44" t="str">
        <f>IF(AND(C406="",D406=""),"",C406-D406)</f>
        <v/>
      </c>
      <c r="F406" s="13"/>
      <c r="G406" s="13"/>
      <c r="H406" s="13"/>
      <c r="I406" s="13"/>
      <c r="J406" s="13"/>
      <c r="K406" s="13"/>
    </row>
    <row r="407" spans="1:11" ht="20.100000000000001" customHeight="1" x14ac:dyDescent="0.25">
      <c r="A407" s="69"/>
      <c r="B407" s="51" t="s">
        <v>76</v>
      </c>
      <c r="C407" s="52"/>
      <c r="D407" s="75"/>
      <c r="E407" s="52"/>
      <c r="F407" s="13"/>
      <c r="G407" s="13"/>
      <c r="H407" s="13"/>
      <c r="I407" s="13"/>
      <c r="J407" s="13"/>
      <c r="K407" s="13"/>
    </row>
    <row r="408" spans="1:11" ht="20.100000000000001" customHeight="1" x14ac:dyDescent="0.25">
      <c r="A408" s="69"/>
      <c r="B408" s="43" t="s">
        <v>77</v>
      </c>
      <c r="C408" s="63"/>
      <c r="D408" s="83"/>
      <c r="E408" s="44" t="str">
        <f>IF(AND(C408="",D408=""),"",C408-D408)</f>
        <v/>
      </c>
      <c r="F408" s="13"/>
      <c r="G408" s="13"/>
      <c r="H408" s="13"/>
      <c r="I408" s="13"/>
      <c r="J408" s="13"/>
      <c r="K408" s="13"/>
    </row>
    <row r="409" spans="1:11" ht="20.100000000000001" customHeight="1" x14ac:dyDescent="0.25">
      <c r="A409" s="69"/>
      <c r="B409" s="45" t="s">
        <v>78</v>
      </c>
      <c r="C409" s="63"/>
      <c r="D409" s="83"/>
      <c r="E409" s="46" t="str">
        <f>IF(AND(C409="",D409=""),"",C409-D409)</f>
        <v/>
      </c>
      <c r="F409" s="13"/>
      <c r="G409" s="13"/>
      <c r="H409" s="13"/>
      <c r="I409" s="13"/>
      <c r="J409" s="13"/>
      <c r="K409" s="13"/>
    </row>
    <row r="410" spans="1:11" ht="20.100000000000001" customHeight="1" x14ac:dyDescent="0.25">
      <c r="A410" s="69"/>
      <c r="B410" s="43" t="s">
        <v>79</v>
      </c>
      <c r="C410" s="63"/>
      <c r="D410" s="83"/>
      <c r="E410" s="65" t="str">
        <f>IF(AND(C410="",D410=""),"",C410-D410)</f>
        <v/>
      </c>
      <c r="F410" s="13"/>
      <c r="G410" s="13"/>
      <c r="H410" s="13"/>
      <c r="I410" s="13"/>
      <c r="J410" s="13"/>
      <c r="K410" s="13"/>
    </row>
    <row r="411" spans="1:11" ht="24" customHeight="1" x14ac:dyDescent="0.25">
      <c r="A411" s="69"/>
      <c r="B411" s="53" t="s">
        <v>80</v>
      </c>
      <c r="C411" s="54">
        <f>C365+C366+C367+C368+C369+C371+C372+C373+C374+C375+C377+C378+C379+C381+C382+C383+C384+C385+C387+C388+C389+C390+C392+C393+C394+C396+C397+C398+C400+C401+C402+C404+C405+C406+C408+C409+C410</f>
        <v>0</v>
      </c>
      <c r="D411" s="64">
        <f>D365+D366+D367+D368+D369+D371+D372+D373+D374+D375+D377+D378+D379+D381+D382+D383+D384+D385+D387+D388+D389+D390+D392+D393+D394+D396+D397+D398+D400+D401+D402+D404+D405+D406+D408+D409+D410</f>
        <v>0</v>
      </c>
      <c r="E411" s="103">
        <f>C411-D411</f>
        <v>0</v>
      </c>
      <c r="F411" s="13"/>
      <c r="G411" s="13"/>
      <c r="H411" s="13"/>
      <c r="I411" s="13"/>
      <c r="J411" s="13"/>
      <c r="K411" s="13"/>
    </row>
    <row r="412" spans="1:11" ht="6" customHeight="1" x14ac:dyDescent="0.25">
      <c r="A412" s="69"/>
      <c r="B412" s="68"/>
      <c r="C412" s="68"/>
      <c r="D412" s="68"/>
      <c r="E412" s="76"/>
      <c r="F412" s="13"/>
      <c r="G412" s="13"/>
      <c r="H412" s="13"/>
      <c r="I412" s="13"/>
      <c r="J412" s="13"/>
      <c r="K412" s="13"/>
    </row>
    <row r="413" spans="1:11" ht="24" customHeight="1" x14ac:dyDescent="0.25">
      <c r="A413" s="69"/>
      <c r="B413" s="55" t="s">
        <v>94</v>
      </c>
      <c r="C413" s="39"/>
      <c r="D413" s="70"/>
      <c r="E413" s="39"/>
      <c r="F413" s="13"/>
      <c r="G413" s="13"/>
      <c r="H413" s="13"/>
      <c r="I413" s="13"/>
      <c r="J413" s="13"/>
      <c r="K413" s="13"/>
    </row>
    <row r="414" spans="1:11" ht="21.95" customHeight="1" x14ac:dyDescent="0.25">
      <c r="A414" s="69"/>
      <c r="B414" s="56" t="s">
        <v>82</v>
      </c>
      <c r="C414" s="57">
        <f>C360</f>
        <v>0</v>
      </c>
      <c r="D414" s="84">
        <f>D360</f>
        <v>0</v>
      </c>
      <c r="E414" s="58"/>
      <c r="F414" s="13"/>
      <c r="G414" s="13"/>
      <c r="H414" s="13"/>
      <c r="I414" s="13"/>
      <c r="J414" s="13"/>
      <c r="K414" s="13"/>
    </row>
    <row r="415" spans="1:11" ht="21.95" customHeight="1" x14ac:dyDescent="0.25">
      <c r="A415" s="69"/>
      <c r="B415" s="56" t="s">
        <v>83</v>
      </c>
      <c r="C415" s="57">
        <f>C411</f>
        <v>0</v>
      </c>
      <c r="D415" s="84">
        <f>D411</f>
        <v>0</v>
      </c>
      <c r="E415" s="58"/>
      <c r="F415" s="13"/>
      <c r="G415" s="13"/>
      <c r="H415" s="13"/>
      <c r="I415" s="13"/>
      <c r="J415" s="13"/>
      <c r="K415" s="13"/>
    </row>
    <row r="416" spans="1:11" ht="21.95" customHeight="1" x14ac:dyDescent="0.25">
      <c r="A416" s="69"/>
      <c r="B416" s="59" t="s">
        <v>84</v>
      </c>
      <c r="C416" s="60">
        <f>C414-C415</f>
        <v>0</v>
      </c>
      <c r="D416" s="85">
        <f>D360-D411</f>
        <v>0</v>
      </c>
      <c r="E416" s="61"/>
      <c r="F416" s="13"/>
      <c r="G416" s="13"/>
      <c r="H416" s="13"/>
      <c r="I416" s="13"/>
      <c r="J416" s="13"/>
      <c r="K416" s="13"/>
    </row>
    <row r="417" spans="1:11" ht="21.95" customHeight="1" x14ac:dyDescent="0.25">
      <c r="A417" s="69"/>
      <c r="B417" s="78" t="s">
        <v>5</v>
      </c>
      <c r="C417" s="79" t="str">
        <f>IF(C414=0,"",1-C415/C414)</f>
        <v/>
      </c>
      <c r="D417" s="86" t="str">
        <f>IF(D360=0,"",1-D411/D360)</f>
        <v/>
      </c>
      <c r="E417" s="87"/>
      <c r="F417" s="13"/>
      <c r="G417" s="13"/>
      <c r="H417" s="13"/>
      <c r="I417" s="13"/>
      <c r="J417" s="13"/>
      <c r="K417" s="13"/>
    </row>
    <row r="418" spans="1:11" ht="6" customHeight="1" x14ac:dyDescent="0.25">
      <c r="A418" s="69"/>
      <c r="B418" s="69"/>
      <c r="C418" s="69"/>
      <c r="D418" s="69"/>
      <c r="E418" s="77"/>
      <c r="F418" s="13"/>
      <c r="G418" s="13"/>
      <c r="H418" s="13"/>
      <c r="I418" s="13"/>
      <c r="J418" s="13"/>
      <c r="K418" s="13"/>
    </row>
    <row r="419" spans="1:11" ht="6" customHeight="1" x14ac:dyDescent="0.25">
      <c r="A419" s="69"/>
      <c r="B419" s="69"/>
      <c r="C419" s="69"/>
      <c r="D419" s="69"/>
      <c r="E419" s="77"/>
      <c r="F419" s="13"/>
      <c r="G419" s="13"/>
      <c r="H419" s="13"/>
      <c r="I419" s="13"/>
      <c r="J419" s="13"/>
      <c r="K419" s="13"/>
    </row>
    <row r="420" spans="1:11" ht="6" customHeight="1" x14ac:dyDescent="0.25">
      <c r="A420" s="69"/>
      <c r="B420" s="69"/>
      <c r="C420" s="69"/>
      <c r="D420" s="69"/>
      <c r="E420" s="77"/>
      <c r="F420" s="13"/>
      <c r="G420" s="13"/>
      <c r="H420" s="13"/>
      <c r="I420" s="13"/>
      <c r="J420" s="13"/>
      <c r="K420" s="13"/>
    </row>
    <row r="421" spans="1:11" ht="32.1" customHeight="1" x14ac:dyDescent="0.25">
      <c r="A421" s="69"/>
      <c r="B421" s="80" t="s">
        <v>95</v>
      </c>
      <c r="C421" s="81"/>
      <c r="D421" s="82"/>
      <c r="E421" s="81"/>
      <c r="F421" s="13"/>
      <c r="G421" s="13"/>
      <c r="H421" s="13"/>
      <c r="I421" s="13"/>
      <c r="J421" s="13"/>
      <c r="K421" s="13"/>
    </row>
    <row r="422" spans="1:11" ht="6" customHeight="1" x14ac:dyDescent="0.25">
      <c r="A422" s="69"/>
      <c r="B422" s="37"/>
      <c r="C422" s="37"/>
      <c r="D422" s="37"/>
      <c r="E422" s="66"/>
      <c r="F422" s="13"/>
      <c r="G422" s="13"/>
      <c r="H422" s="13"/>
      <c r="I422" s="13"/>
      <c r="J422" s="13"/>
      <c r="K422" s="13"/>
    </row>
    <row r="423" spans="1:11" ht="24" customHeight="1" x14ac:dyDescent="0.25">
      <c r="A423" s="69"/>
      <c r="B423" s="40" t="s">
        <v>22</v>
      </c>
      <c r="C423" s="41"/>
      <c r="D423" s="71"/>
      <c r="E423" s="41"/>
      <c r="F423" s="13"/>
      <c r="G423" s="13"/>
      <c r="H423" s="13"/>
      <c r="I423" s="13"/>
      <c r="J423" s="13"/>
      <c r="K423" s="13"/>
    </row>
    <row r="424" spans="1:11" ht="21.95" customHeight="1" x14ac:dyDescent="0.25">
      <c r="A424" s="69"/>
      <c r="B424" s="42" t="s">
        <v>20</v>
      </c>
      <c r="C424" s="42" t="s">
        <v>23</v>
      </c>
      <c r="D424" s="72" t="s">
        <v>24</v>
      </c>
      <c r="E424" s="42" t="s">
        <v>25</v>
      </c>
      <c r="F424" s="13"/>
      <c r="G424" s="13"/>
      <c r="H424" s="13"/>
      <c r="I424" s="13"/>
      <c r="J424" s="13"/>
      <c r="K424" s="13"/>
    </row>
    <row r="425" spans="1:11" ht="20.100000000000001" customHeight="1" x14ac:dyDescent="0.25">
      <c r="A425" s="69"/>
      <c r="B425" s="43" t="s">
        <v>26</v>
      </c>
      <c r="C425" s="63"/>
      <c r="D425" s="83"/>
      <c r="E425" s="44" t="str">
        <f>IF(AND(C425="",D425=""),"",D425-C425)</f>
        <v/>
      </c>
      <c r="F425" s="13"/>
      <c r="G425" s="13"/>
      <c r="H425" s="13"/>
      <c r="I425" s="13"/>
      <c r="J425" s="13"/>
      <c r="K425" s="13"/>
    </row>
    <row r="426" spans="1:11" ht="20.100000000000001" customHeight="1" x14ac:dyDescent="0.25">
      <c r="A426" s="69"/>
      <c r="B426" s="45" t="s">
        <v>27</v>
      </c>
      <c r="C426" s="63"/>
      <c r="D426" s="83"/>
      <c r="E426" s="46" t="str">
        <f>IF(AND(C426="",D426=""),"",D426-C426)</f>
        <v/>
      </c>
      <c r="F426" s="13"/>
      <c r="G426" s="13"/>
      <c r="H426" s="13"/>
      <c r="I426" s="13"/>
      <c r="J426" s="13"/>
      <c r="K426" s="13"/>
    </row>
    <row r="427" spans="1:11" ht="20.100000000000001" customHeight="1" x14ac:dyDescent="0.25">
      <c r="A427" s="69"/>
      <c r="B427" s="43" t="s">
        <v>28</v>
      </c>
      <c r="C427" s="63"/>
      <c r="D427" s="83"/>
      <c r="E427" s="44" t="str">
        <f>IF(AND(C427="",D427=""),"",D427-C427)</f>
        <v/>
      </c>
      <c r="F427" s="13"/>
      <c r="G427" s="13"/>
      <c r="H427" s="13"/>
      <c r="I427" s="13"/>
      <c r="J427" s="13"/>
      <c r="K427" s="13"/>
    </row>
    <row r="428" spans="1:11" ht="20.100000000000001" customHeight="1" x14ac:dyDescent="0.25">
      <c r="A428" s="69"/>
      <c r="B428" s="45" t="s">
        <v>29</v>
      </c>
      <c r="C428" s="63"/>
      <c r="D428" s="83"/>
      <c r="E428" s="46" t="str">
        <f>IF(AND(C428="",D428=""),"",D428-C428)</f>
        <v/>
      </c>
      <c r="F428" s="13"/>
      <c r="G428" s="13"/>
      <c r="H428" s="13"/>
      <c r="I428" s="13"/>
      <c r="J428" s="13"/>
      <c r="K428" s="13"/>
    </row>
    <row r="429" spans="1:11" ht="20.100000000000001" customHeight="1" x14ac:dyDescent="0.25">
      <c r="A429" s="69"/>
      <c r="B429" s="43" t="s">
        <v>30</v>
      </c>
      <c r="C429" s="63"/>
      <c r="D429" s="83"/>
      <c r="E429" s="44" t="str">
        <f>IF(AND(C429="",D429=""),"",D429-C429)</f>
        <v/>
      </c>
      <c r="F429" s="13"/>
      <c r="G429" s="13"/>
      <c r="H429" s="13"/>
      <c r="I429" s="13"/>
      <c r="J429" s="13"/>
      <c r="K429" s="13"/>
    </row>
    <row r="430" spans="1:11" ht="24" customHeight="1" x14ac:dyDescent="0.25">
      <c r="A430" s="69"/>
      <c r="B430" s="47" t="s">
        <v>31</v>
      </c>
      <c r="C430" s="48">
        <f>SUM(C425:C429)</f>
        <v>0</v>
      </c>
      <c r="D430" s="73">
        <f>SUM(D425:D429)</f>
        <v>0</v>
      </c>
      <c r="E430" s="48">
        <f>D430-C430</f>
        <v>0</v>
      </c>
      <c r="F430" s="13"/>
      <c r="G430" s="13"/>
      <c r="H430" s="13"/>
      <c r="I430" s="13"/>
      <c r="J430" s="13"/>
      <c r="K430" s="13"/>
    </row>
    <row r="431" spans="1:11" ht="6" customHeight="1" x14ac:dyDescent="0.25">
      <c r="A431" s="69"/>
      <c r="B431" s="68"/>
      <c r="C431" s="68"/>
      <c r="D431" s="68"/>
      <c r="E431" s="76"/>
      <c r="F431" s="13"/>
      <c r="G431" s="13"/>
      <c r="H431" s="13"/>
      <c r="I431" s="13"/>
      <c r="J431" s="13"/>
      <c r="K431" s="13"/>
    </row>
    <row r="432" spans="1:11" ht="24" customHeight="1" x14ac:dyDescent="0.25">
      <c r="A432" s="69"/>
      <c r="B432" s="49" t="s">
        <v>32</v>
      </c>
      <c r="C432" s="50"/>
      <c r="D432" s="74"/>
      <c r="E432" s="50"/>
      <c r="F432" s="13"/>
      <c r="G432" s="13"/>
      <c r="H432" s="13"/>
      <c r="I432" s="13"/>
      <c r="J432" s="13"/>
      <c r="K432" s="13"/>
    </row>
    <row r="433" spans="1:11" ht="21.95" customHeight="1" x14ac:dyDescent="0.25">
      <c r="A433" s="69"/>
      <c r="B433" s="42" t="s">
        <v>20</v>
      </c>
      <c r="C433" s="42" t="s">
        <v>23</v>
      </c>
      <c r="D433" s="72" t="s">
        <v>24</v>
      </c>
      <c r="E433" s="42" t="s">
        <v>25</v>
      </c>
      <c r="F433" s="13"/>
      <c r="G433" s="13"/>
      <c r="H433" s="13"/>
      <c r="I433" s="13"/>
      <c r="J433" s="13"/>
      <c r="K433" s="13"/>
    </row>
    <row r="434" spans="1:11" ht="20.100000000000001" customHeight="1" x14ac:dyDescent="0.25">
      <c r="A434" s="69"/>
      <c r="B434" s="51" t="s">
        <v>33</v>
      </c>
      <c r="C434" s="52"/>
      <c r="D434" s="75"/>
      <c r="E434" s="52"/>
      <c r="F434" s="13"/>
      <c r="G434" s="13"/>
      <c r="H434" s="13"/>
      <c r="I434" s="13"/>
      <c r="J434" s="13"/>
      <c r="K434" s="13"/>
    </row>
    <row r="435" spans="1:11" ht="20.100000000000001" customHeight="1" x14ac:dyDescent="0.25">
      <c r="A435" s="69"/>
      <c r="B435" s="43" t="s">
        <v>34</v>
      </c>
      <c r="C435" s="63"/>
      <c r="D435" s="83"/>
      <c r="E435" s="44" t="str">
        <f>IF(AND(C435="",D435=""),"",C435-D435)</f>
        <v/>
      </c>
      <c r="F435" s="13"/>
      <c r="G435" s="13"/>
      <c r="H435" s="13"/>
      <c r="I435" s="13"/>
      <c r="J435" s="13"/>
      <c r="K435" s="13"/>
    </row>
    <row r="436" spans="1:11" ht="20.100000000000001" customHeight="1" x14ac:dyDescent="0.25">
      <c r="A436" s="69"/>
      <c r="B436" s="45" t="s">
        <v>35</v>
      </c>
      <c r="C436" s="63"/>
      <c r="D436" s="83"/>
      <c r="E436" s="46" t="str">
        <f>IF(AND(C436="",D436=""),"",C436-D436)</f>
        <v/>
      </c>
      <c r="F436" s="13"/>
      <c r="G436" s="13"/>
      <c r="H436" s="13"/>
      <c r="I436" s="13"/>
      <c r="J436" s="13"/>
      <c r="K436" s="13"/>
    </row>
    <row r="437" spans="1:11" ht="20.100000000000001" customHeight="1" x14ac:dyDescent="0.25">
      <c r="A437" s="69"/>
      <c r="B437" s="43" t="s">
        <v>36</v>
      </c>
      <c r="C437" s="63"/>
      <c r="D437" s="83"/>
      <c r="E437" s="44" t="str">
        <f>IF(AND(C437="",D437=""),"",C437-D437)</f>
        <v/>
      </c>
      <c r="F437" s="13"/>
      <c r="G437" s="13"/>
      <c r="H437" s="13"/>
      <c r="I437" s="13"/>
      <c r="J437" s="13"/>
      <c r="K437" s="13"/>
    </row>
    <row r="438" spans="1:11" ht="20.100000000000001" customHeight="1" x14ac:dyDescent="0.25">
      <c r="A438" s="69"/>
      <c r="B438" s="45" t="s">
        <v>37</v>
      </c>
      <c r="C438" s="63"/>
      <c r="D438" s="83"/>
      <c r="E438" s="46" t="str">
        <f>IF(AND(C438="",D438=""),"",C438-D438)</f>
        <v/>
      </c>
      <c r="F438" s="13"/>
      <c r="G438" s="13"/>
      <c r="H438" s="13"/>
      <c r="I438" s="13"/>
      <c r="J438" s="13"/>
      <c r="K438" s="13"/>
    </row>
    <row r="439" spans="1:11" ht="20.100000000000001" customHeight="1" x14ac:dyDescent="0.25">
      <c r="A439" s="69"/>
      <c r="B439" s="43" t="s">
        <v>38</v>
      </c>
      <c r="C439" s="63"/>
      <c r="D439" s="83"/>
      <c r="E439" s="44" t="str">
        <f>IF(AND(C439="",D439=""),"",C439-D439)</f>
        <v/>
      </c>
      <c r="F439" s="13"/>
      <c r="G439" s="13"/>
      <c r="H439" s="13"/>
      <c r="I439" s="13"/>
      <c r="J439" s="13"/>
      <c r="K439" s="13"/>
    </row>
    <row r="440" spans="1:11" ht="20.100000000000001" customHeight="1" x14ac:dyDescent="0.25">
      <c r="A440" s="69"/>
      <c r="B440" s="51" t="s">
        <v>39</v>
      </c>
      <c r="C440" s="52"/>
      <c r="D440" s="75"/>
      <c r="E440" s="52"/>
      <c r="F440" s="13"/>
      <c r="G440" s="13"/>
      <c r="H440" s="13"/>
      <c r="I440" s="13"/>
      <c r="J440" s="13"/>
      <c r="K440" s="13"/>
    </row>
    <row r="441" spans="1:11" ht="20.100000000000001" customHeight="1" x14ac:dyDescent="0.25">
      <c r="A441" s="69"/>
      <c r="B441" s="43" t="s">
        <v>40</v>
      </c>
      <c r="C441" s="63"/>
      <c r="D441" s="83"/>
      <c r="E441" s="44" t="str">
        <f>IF(AND(C441="",D441=""),"",C441-D441)</f>
        <v/>
      </c>
      <c r="F441" s="13"/>
      <c r="G441" s="13"/>
      <c r="H441" s="13"/>
      <c r="I441" s="13"/>
      <c r="J441" s="13"/>
      <c r="K441" s="13"/>
    </row>
    <row r="442" spans="1:11" ht="20.100000000000001" customHeight="1" x14ac:dyDescent="0.25">
      <c r="A442" s="69"/>
      <c r="B442" s="45" t="s">
        <v>41</v>
      </c>
      <c r="C442" s="63"/>
      <c r="D442" s="83"/>
      <c r="E442" s="46" t="str">
        <f>IF(AND(C442="",D442=""),"",C442-D442)</f>
        <v/>
      </c>
      <c r="F442" s="13"/>
      <c r="G442" s="13"/>
      <c r="H442" s="13"/>
      <c r="I442" s="13"/>
      <c r="J442" s="13"/>
      <c r="K442" s="13"/>
    </row>
    <row r="443" spans="1:11" ht="20.100000000000001" customHeight="1" x14ac:dyDescent="0.25">
      <c r="A443" s="69"/>
      <c r="B443" s="43" t="s">
        <v>42</v>
      </c>
      <c r="C443" s="63"/>
      <c r="D443" s="83"/>
      <c r="E443" s="44" t="str">
        <f>IF(AND(C443="",D443=""),"",C443-D443)</f>
        <v/>
      </c>
      <c r="F443" s="13"/>
      <c r="G443" s="13"/>
      <c r="H443" s="13"/>
      <c r="I443" s="13"/>
      <c r="J443" s="13"/>
      <c r="K443" s="13"/>
    </row>
    <row r="444" spans="1:11" ht="20.100000000000001" customHeight="1" x14ac:dyDescent="0.25">
      <c r="A444" s="69"/>
      <c r="B444" s="45" t="s">
        <v>43</v>
      </c>
      <c r="C444" s="63"/>
      <c r="D444" s="83"/>
      <c r="E444" s="46" t="str">
        <f>IF(AND(C444="",D444=""),"",C444-D444)</f>
        <v/>
      </c>
      <c r="F444" s="13"/>
      <c r="G444" s="13"/>
      <c r="H444" s="13"/>
      <c r="I444" s="13"/>
      <c r="J444" s="13"/>
      <c r="K444" s="13"/>
    </row>
    <row r="445" spans="1:11" ht="20.100000000000001" customHeight="1" x14ac:dyDescent="0.25">
      <c r="A445" s="69"/>
      <c r="B445" s="43" t="s">
        <v>44</v>
      </c>
      <c r="C445" s="63"/>
      <c r="D445" s="83"/>
      <c r="E445" s="44" t="str">
        <f>IF(AND(C445="",D445=""),"",C445-D445)</f>
        <v/>
      </c>
      <c r="F445" s="13"/>
      <c r="G445" s="13"/>
      <c r="H445" s="13"/>
      <c r="I445" s="13"/>
      <c r="J445" s="13"/>
      <c r="K445" s="13"/>
    </row>
    <row r="446" spans="1:11" ht="20.100000000000001" customHeight="1" x14ac:dyDescent="0.25">
      <c r="A446" s="69"/>
      <c r="B446" s="51" t="s">
        <v>45</v>
      </c>
      <c r="C446" s="52"/>
      <c r="D446" s="75"/>
      <c r="E446" s="52"/>
      <c r="F446" s="13"/>
      <c r="G446" s="13"/>
      <c r="H446" s="13"/>
      <c r="I446" s="13"/>
      <c r="J446" s="13"/>
      <c r="K446" s="13"/>
    </row>
    <row r="447" spans="1:11" ht="20.100000000000001" customHeight="1" x14ac:dyDescent="0.25">
      <c r="A447" s="69"/>
      <c r="B447" s="43" t="s">
        <v>46</v>
      </c>
      <c r="C447" s="63"/>
      <c r="D447" s="83"/>
      <c r="E447" s="44" t="str">
        <f>IF(AND(C447="",D447=""),"",C447-D447)</f>
        <v/>
      </c>
      <c r="F447" s="13"/>
      <c r="G447" s="13"/>
      <c r="H447" s="13"/>
      <c r="I447" s="13"/>
      <c r="J447" s="13"/>
      <c r="K447" s="13"/>
    </row>
    <row r="448" spans="1:11" ht="20.100000000000001" customHeight="1" x14ac:dyDescent="0.25">
      <c r="A448" s="69"/>
      <c r="B448" s="45" t="s">
        <v>47</v>
      </c>
      <c r="C448" s="63"/>
      <c r="D448" s="83"/>
      <c r="E448" s="46" t="str">
        <f>IF(AND(C448="",D448=""),"",C448-D448)</f>
        <v/>
      </c>
      <c r="F448" s="13"/>
      <c r="G448" s="13"/>
      <c r="H448" s="13"/>
      <c r="I448" s="13"/>
      <c r="J448" s="13"/>
      <c r="K448" s="13"/>
    </row>
    <row r="449" spans="1:11" ht="20.100000000000001" customHeight="1" x14ac:dyDescent="0.25">
      <c r="A449" s="69"/>
      <c r="B449" s="43" t="s">
        <v>48</v>
      </c>
      <c r="C449" s="63"/>
      <c r="D449" s="83"/>
      <c r="E449" s="44" t="str">
        <f>IF(AND(C449="",D449=""),"",C449-D449)</f>
        <v/>
      </c>
      <c r="F449" s="13"/>
      <c r="G449" s="13"/>
      <c r="H449" s="13"/>
      <c r="I449" s="13"/>
      <c r="J449" s="13"/>
      <c r="K449" s="13"/>
    </row>
    <row r="450" spans="1:11" ht="20.100000000000001" customHeight="1" x14ac:dyDescent="0.25">
      <c r="A450" s="69"/>
      <c r="B450" s="51" t="s">
        <v>49</v>
      </c>
      <c r="C450" s="52"/>
      <c r="D450" s="75"/>
      <c r="E450" s="52"/>
      <c r="F450" s="13"/>
      <c r="G450" s="13"/>
      <c r="H450" s="13"/>
      <c r="I450" s="13"/>
      <c r="J450" s="13"/>
      <c r="K450" s="13"/>
    </row>
    <row r="451" spans="1:11" ht="20.100000000000001" customHeight="1" x14ac:dyDescent="0.25">
      <c r="A451" s="69"/>
      <c r="B451" s="43" t="s">
        <v>50</v>
      </c>
      <c r="C451" s="63"/>
      <c r="D451" s="83"/>
      <c r="E451" s="44" t="str">
        <f>IF(AND(C451="",D451=""),"",C451-D451)</f>
        <v/>
      </c>
      <c r="F451" s="13"/>
      <c r="G451" s="13"/>
      <c r="H451" s="13"/>
      <c r="I451" s="13"/>
      <c r="J451" s="13"/>
      <c r="K451" s="13"/>
    </row>
    <row r="452" spans="1:11" ht="20.100000000000001" customHeight="1" x14ac:dyDescent="0.25">
      <c r="A452" s="69"/>
      <c r="B452" s="45" t="s">
        <v>51</v>
      </c>
      <c r="C452" s="63"/>
      <c r="D452" s="83"/>
      <c r="E452" s="46" t="str">
        <f>IF(AND(C452="",D452=""),"",C452-D452)</f>
        <v/>
      </c>
      <c r="F452" s="13"/>
      <c r="G452" s="13"/>
      <c r="H452" s="13"/>
      <c r="I452" s="13"/>
      <c r="J452" s="13"/>
      <c r="K452" s="13"/>
    </row>
    <row r="453" spans="1:11" ht="20.100000000000001" customHeight="1" x14ac:dyDescent="0.25">
      <c r="A453" s="69"/>
      <c r="B453" s="43" t="s">
        <v>52</v>
      </c>
      <c r="C453" s="63"/>
      <c r="D453" s="83"/>
      <c r="E453" s="44" t="str">
        <f>IF(AND(C453="",D453=""),"",C453-D453)</f>
        <v/>
      </c>
      <c r="F453" s="13"/>
      <c r="G453" s="13"/>
      <c r="H453" s="13"/>
      <c r="I453" s="13"/>
      <c r="J453" s="13"/>
      <c r="K453" s="13"/>
    </row>
    <row r="454" spans="1:11" ht="20.100000000000001" customHeight="1" x14ac:dyDescent="0.25">
      <c r="A454" s="69"/>
      <c r="B454" s="45" t="s">
        <v>53</v>
      </c>
      <c r="C454" s="63"/>
      <c r="D454" s="83"/>
      <c r="E454" s="46" t="str">
        <f>IF(AND(C454="",D454=""),"",C454-D454)</f>
        <v/>
      </c>
      <c r="F454" s="13"/>
      <c r="G454" s="13"/>
      <c r="H454" s="13"/>
      <c r="I454" s="13"/>
      <c r="J454" s="13"/>
      <c r="K454" s="13"/>
    </row>
    <row r="455" spans="1:11" ht="20.100000000000001" customHeight="1" x14ac:dyDescent="0.25">
      <c r="A455" s="69"/>
      <c r="B455" s="43" t="s">
        <v>54</v>
      </c>
      <c r="C455" s="63"/>
      <c r="D455" s="83"/>
      <c r="E455" s="44" t="str">
        <f>IF(AND(C455="",D455=""),"",C455-D455)</f>
        <v/>
      </c>
      <c r="F455" s="13"/>
      <c r="G455" s="13"/>
      <c r="H455" s="13"/>
      <c r="I455" s="13"/>
      <c r="J455" s="13"/>
      <c r="K455" s="13"/>
    </row>
    <row r="456" spans="1:11" ht="20.100000000000001" customHeight="1" x14ac:dyDescent="0.25">
      <c r="A456" s="69"/>
      <c r="B456" s="51" t="s">
        <v>55</v>
      </c>
      <c r="C456" s="52"/>
      <c r="D456" s="75"/>
      <c r="E456" s="52"/>
      <c r="F456" s="13"/>
      <c r="G456" s="13"/>
      <c r="H456" s="13"/>
      <c r="I456" s="13"/>
      <c r="J456" s="13"/>
      <c r="K456" s="13"/>
    </row>
    <row r="457" spans="1:11" ht="20.100000000000001" customHeight="1" x14ac:dyDescent="0.25">
      <c r="A457" s="69"/>
      <c r="B457" s="43" t="s">
        <v>56</v>
      </c>
      <c r="C457" s="63"/>
      <c r="D457" s="83"/>
      <c r="E457" s="44" t="str">
        <f>IF(AND(C457="",D457=""),"",C457-D457)</f>
        <v/>
      </c>
      <c r="F457" s="13"/>
      <c r="G457" s="13"/>
      <c r="H457" s="13"/>
      <c r="I457" s="13"/>
      <c r="J457" s="13"/>
      <c r="K457" s="13"/>
    </row>
    <row r="458" spans="1:11" ht="20.100000000000001" customHeight="1" x14ac:dyDescent="0.25">
      <c r="A458" s="69"/>
      <c r="B458" s="45" t="s">
        <v>57</v>
      </c>
      <c r="C458" s="63"/>
      <c r="D458" s="83"/>
      <c r="E458" s="46" t="str">
        <f>IF(AND(C458="",D458=""),"",C458-D458)</f>
        <v/>
      </c>
      <c r="F458" s="13"/>
      <c r="G458" s="13"/>
      <c r="H458" s="13"/>
      <c r="I458" s="13"/>
      <c r="J458" s="13"/>
      <c r="K458" s="13"/>
    </row>
    <row r="459" spans="1:11" ht="20.100000000000001" customHeight="1" x14ac:dyDescent="0.25">
      <c r="A459" s="69"/>
      <c r="B459" s="43" t="s">
        <v>58</v>
      </c>
      <c r="C459" s="63"/>
      <c r="D459" s="83"/>
      <c r="E459" s="44" t="str">
        <f>IF(AND(C459="",D459=""),"",C459-D459)</f>
        <v/>
      </c>
      <c r="F459" s="13"/>
      <c r="G459" s="13"/>
      <c r="H459" s="13"/>
      <c r="I459" s="13"/>
      <c r="J459" s="13"/>
      <c r="K459" s="13"/>
    </row>
    <row r="460" spans="1:11" ht="20.100000000000001" customHeight="1" x14ac:dyDescent="0.25">
      <c r="A460" s="69"/>
      <c r="B460" s="45" t="s">
        <v>59</v>
      </c>
      <c r="C460" s="63"/>
      <c r="D460" s="83"/>
      <c r="E460" s="46" t="str">
        <f>IF(AND(C460="",D460=""),"",C460-D460)</f>
        <v/>
      </c>
      <c r="F460" s="13"/>
      <c r="G460" s="13"/>
      <c r="H460" s="13"/>
      <c r="I460" s="13"/>
      <c r="J460" s="13"/>
      <c r="K460" s="13"/>
    </row>
    <row r="461" spans="1:11" ht="20.100000000000001" customHeight="1" x14ac:dyDescent="0.25">
      <c r="A461" s="69"/>
      <c r="B461" s="51" t="s">
        <v>60</v>
      </c>
      <c r="C461" s="52"/>
      <c r="D461" s="75"/>
      <c r="E461" s="52"/>
      <c r="F461" s="13"/>
      <c r="G461" s="13"/>
      <c r="H461" s="13"/>
      <c r="I461" s="13"/>
      <c r="J461" s="13"/>
      <c r="K461" s="13"/>
    </row>
    <row r="462" spans="1:11" ht="20.100000000000001" customHeight="1" x14ac:dyDescent="0.25">
      <c r="A462" s="69"/>
      <c r="B462" s="43" t="s">
        <v>61</v>
      </c>
      <c r="C462" s="63"/>
      <c r="D462" s="83"/>
      <c r="E462" s="44" t="str">
        <f>IF(AND(C462="",D462=""),"",C462-D462)</f>
        <v/>
      </c>
      <c r="F462" s="13"/>
      <c r="G462" s="13"/>
      <c r="H462" s="13"/>
      <c r="I462" s="13"/>
      <c r="J462" s="13"/>
      <c r="K462" s="13"/>
    </row>
    <row r="463" spans="1:11" ht="20.100000000000001" customHeight="1" x14ac:dyDescent="0.25">
      <c r="A463" s="69"/>
      <c r="B463" s="45" t="s">
        <v>62</v>
      </c>
      <c r="C463" s="63"/>
      <c r="D463" s="83"/>
      <c r="E463" s="46" t="str">
        <f>IF(AND(C463="",D463=""),"",C463-D463)</f>
        <v/>
      </c>
      <c r="F463" s="13"/>
      <c r="G463" s="13"/>
      <c r="H463" s="13"/>
      <c r="I463" s="13"/>
      <c r="J463" s="13"/>
      <c r="K463" s="13"/>
    </row>
    <row r="464" spans="1:11" ht="20.100000000000001" customHeight="1" x14ac:dyDescent="0.25">
      <c r="A464" s="69"/>
      <c r="B464" s="43" t="s">
        <v>63</v>
      </c>
      <c r="C464" s="63"/>
      <c r="D464" s="83"/>
      <c r="E464" s="44" t="str">
        <f>IF(AND(C464="",D464=""),"",C464-D464)</f>
        <v/>
      </c>
      <c r="F464" s="13"/>
      <c r="G464" s="13"/>
      <c r="H464" s="13"/>
      <c r="I464" s="13"/>
      <c r="J464" s="13"/>
      <c r="K464" s="13"/>
    </row>
    <row r="465" spans="1:11" ht="20.100000000000001" customHeight="1" x14ac:dyDescent="0.25">
      <c r="A465" s="69"/>
      <c r="B465" s="51" t="s">
        <v>64</v>
      </c>
      <c r="C465" s="52"/>
      <c r="D465" s="75"/>
      <c r="E465" s="52"/>
      <c r="F465" s="13"/>
      <c r="G465" s="13"/>
      <c r="H465" s="13"/>
      <c r="I465" s="13"/>
      <c r="J465" s="13"/>
      <c r="K465" s="13"/>
    </row>
    <row r="466" spans="1:11" ht="20.100000000000001" customHeight="1" x14ac:dyDescent="0.25">
      <c r="A466" s="69"/>
      <c r="B466" s="43" t="s">
        <v>65</v>
      </c>
      <c r="C466" s="63"/>
      <c r="D466" s="83"/>
      <c r="E466" s="44" t="str">
        <f>IF(AND(C466="",D466=""),"",C466-D466)</f>
        <v/>
      </c>
      <c r="F466" s="13"/>
      <c r="G466" s="13"/>
      <c r="H466" s="13"/>
      <c r="I466" s="13"/>
      <c r="J466" s="13"/>
      <c r="K466" s="13"/>
    </row>
    <row r="467" spans="1:11" ht="20.100000000000001" customHeight="1" x14ac:dyDescent="0.25">
      <c r="A467" s="69"/>
      <c r="B467" s="45" t="s">
        <v>66</v>
      </c>
      <c r="C467" s="63"/>
      <c r="D467" s="83"/>
      <c r="E467" s="46" t="str">
        <f>IF(AND(C467="",D467=""),"",C467-D467)</f>
        <v/>
      </c>
      <c r="F467" s="13"/>
      <c r="G467" s="13"/>
      <c r="H467" s="13"/>
      <c r="I467" s="13"/>
      <c r="J467" s="13"/>
      <c r="K467" s="13"/>
    </row>
    <row r="468" spans="1:11" ht="20.100000000000001" customHeight="1" x14ac:dyDescent="0.25">
      <c r="A468" s="69"/>
      <c r="B468" s="43" t="s">
        <v>67</v>
      </c>
      <c r="C468" s="63"/>
      <c r="D468" s="83"/>
      <c r="E468" s="44" t="str">
        <f>IF(AND(C468="",D468=""),"",C468-D468)</f>
        <v/>
      </c>
      <c r="F468" s="13"/>
      <c r="G468" s="13"/>
      <c r="H468" s="13"/>
      <c r="I468" s="13"/>
      <c r="J468" s="13"/>
      <c r="K468" s="13"/>
    </row>
    <row r="469" spans="1:11" ht="20.100000000000001" customHeight="1" x14ac:dyDescent="0.25">
      <c r="A469" s="69"/>
      <c r="B469" s="51" t="s">
        <v>68</v>
      </c>
      <c r="C469" s="52"/>
      <c r="D469" s="75"/>
      <c r="E469" s="52"/>
      <c r="F469" s="13"/>
      <c r="G469" s="13"/>
      <c r="H469" s="13"/>
      <c r="I469" s="13"/>
      <c r="J469" s="13"/>
      <c r="K469" s="13"/>
    </row>
    <row r="470" spans="1:11" ht="20.100000000000001" customHeight="1" x14ac:dyDescent="0.25">
      <c r="A470" s="69"/>
      <c r="B470" s="43" t="s">
        <v>69</v>
      </c>
      <c r="C470" s="63"/>
      <c r="D470" s="83"/>
      <c r="E470" s="44" t="str">
        <f>IF(AND(C470="",D470=""),"",C470-D470)</f>
        <v/>
      </c>
      <c r="F470" s="13"/>
      <c r="G470" s="13"/>
      <c r="H470" s="13"/>
      <c r="I470" s="13"/>
      <c r="J470" s="13"/>
      <c r="K470" s="13"/>
    </row>
    <row r="471" spans="1:11" ht="20.100000000000001" customHeight="1" x14ac:dyDescent="0.25">
      <c r="A471" s="69"/>
      <c r="B471" s="45" t="s">
        <v>70</v>
      </c>
      <c r="C471" s="63"/>
      <c r="D471" s="83"/>
      <c r="E471" s="46" t="str">
        <f>IF(AND(C471="",D471=""),"",C471-D471)</f>
        <v/>
      </c>
      <c r="F471" s="13"/>
      <c r="G471" s="13"/>
      <c r="H471" s="13"/>
      <c r="I471" s="13"/>
      <c r="J471" s="13"/>
      <c r="K471" s="13"/>
    </row>
    <row r="472" spans="1:11" ht="20.100000000000001" customHeight="1" x14ac:dyDescent="0.25">
      <c r="A472" s="69"/>
      <c r="B472" s="43" t="s">
        <v>71</v>
      </c>
      <c r="C472" s="63"/>
      <c r="D472" s="83"/>
      <c r="E472" s="44" t="str">
        <f>IF(AND(C472="",D472=""),"",C472-D472)</f>
        <v/>
      </c>
      <c r="F472" s="13"/>
      <c r="G472" s="13"/>
      <c r="H472" s="13"/>
      <c r="I472" s="13"/>
      <c r="J472" s="13"/>
      <c r="K472" s="13"/>
    </row>
    <row r="473" spans="1:11" ht="20.100000000000001" customHeight="1" x14ac:dyDescent="0.25">
      <c r="A473" s="69"/>
      <c r="B473" s="51" t="s">
        <v>72</v>
      </c>
      <c r="C473" s="52"/>
      <c r="D473" s="75"/>
      <c r="E473" s="52"/>
      <c r="F473" s="13"/>
      <c r="G473" s="13"/>
      <c r="H473" s="13"/>
      <c r="I473" s="13"/>
      <c r="J473" s="13"/>
      <c r="K473" s="13"/>
    </row>
    <row r="474" spans="1:11" ht="20.100000000000001" customHeight="1" x14ac:dyDescent="0.25">
      <c r="A474" s="69"/>
      <c r="B474" s="43" t="s">
        <v>73</v>
      </c>
      <c r="C474" s="63"/>
      <c r="D474" s="83"/>
      <c r="E474" s="44" t="str">
        <f>IF(AND(C474="",D474=""),"",C474-D474)</f>
        <v/>
      </c>
      <c r="F474" s="13"/>
      <c r="G474" s="13"/>
      <c r="H474" s="13"/>
      <c r="I474" s="13"/>
      <c r="J474" s="13"/>
      <c r="K474" s="13"/>
    </row>
    <row r="475" spans="1:11" ht="20.100000000000001" customHeight="1" x14ac:dyDescent="0.25">
      <c r="A475" s="69"/>
      <c r="B475" s="45" t="s">
        <v>74</v>
      </c>
      <c r="C475" s="63"/>
      <c r="D475" s="83"/>
      <c r="E475" s="46" t="str">
        <f>IF(AND(C475="",D475=""),"",C475-D475)</f>
        <v/>
      </c>
      <c r="F475" s="13"/>
      <c r="G475" s="13"/>
      <c r="H475" s="13"/>
      <c r="I475" s="13"/>
      <c r="J475" s="13"/>
      <c r="K475" s="13"/>
    </row>
    <row r="476" spans="1:11" ht="20.100000000000001" customHeight="1" x14ac:dyDescent="0.25">
      <c r="A476" s="69"/>
      <c r="B476" s="43" t="s">
        <v>75</v>
      </c>
      <c r="C476" s="63"/>
      <c r="D476" s="83"/>
      <c r="E476" s="44" t="str">
        <f>IF(AND(C476="",D476=""),"",C476-D476)</f>
        <v/>
      </c>
      <c r="F476" s="13"/>
      <c r="G476" s="13"/>
      <c r="H476" s="13"/>
      <c r="I476" s="13"/>
      <c r="J476" s="13"/>
      <c r="K476" s="13"/>
    </row>
    <row r="477" spans="1:11" ht="20.100000000000001" customHeight="1" x14ac:dyDescent="0.25">
      <c r="A477" s="69"/>
      <c r="B477" s="51" t="s">
        <v>76</v>
      </c>
      <c r="C477" s="52"/>
      <c r="D477" s="75"/>
      <c r="E477" s="52"/>
      <c r="F477" s="13"/>
      <c r="G477" s="13"/>
      <c r="H477" s="13"/>
      <c r="I477" s="13"/>
      <c r="J477" s="13"/>
      <c r="K477" s="13"/>
    </row>
    <row r="478" spans="1:11" ht="20.100000000000001" customHeight="1" x14ac:dyDescent="0.25">
      <c r="A478" s="69"/>
      <c r="B478" s="43" t="s">
        <v>77</v>
      </c>
      <c r="C478" s="63"/>
      <c r="D478" s="83"/>
      <c r="E478" s="44" t="str">
        <f>IF(AND(C478="",D478=""),"",C478-D478)</f>
        <v/>
      </c>
      <c r="F478" s="13"/>
      <c r="G478" s="13"/>
      <c r="H478" s="13"/>
      <c r="I478" s="13"/>
      <c r="J478" s="13"/>
      <c r="K478" s="13"/>
    </row>
    <row r="479" spans="1:11" ht="20.100000000000001" customHeight="1" x14ac:dyDescent="0.25">
      <c r="A479" s="69"/>
      <c r="B479" s="45" t="s">
        <v>78</v>
      </c>
      <c r="C479" s="63"/>
      <c r="D479" s="83"/>
      <c r="E479" s="46" t="str">
        <f>IF(AND(C479="",D479=""),"",C479-D479)</f>
        <v/>
      </c>
      <c r="F479" s="13"/>
      <c r="G479" s="13"/>
      <c r="H479" s="13"/>
      <c r="I479" s="13"/>
      <c r="J479" s="13"/>
      <c r="K479" s="13"/>
    </row>
    <row r="480" spans="1:11" ht="20.100000000000001" customHeight="1" x14ac:dyDescent="0.25">
      <c r="A480" s="69"/>
      <c r="B480" s="43" t="s">
        <v>79</v>
      </c>
      <c r="C480" s="63"/>
      <c r="D480" s="83"/>
      <c r="E480" s="65" t="str">
        <f>IF(AND(C480="",D480=""),"",C480-D480)</f>
        <v/>
      </c>
      <c r="F480" s="13"/>
      <c r="G480" s="13"/>
      <c r="H480" s="13"/>
      <c r="I480" s="13"/>
      <c r="J480" s="13"/>
      <c r="K480" s="13"/>
    </row>
    <row r="481" spans="1:11" ht="24" customHeight="1" x14ac:dyDescent="0.25">
      <c r="A481" s="69"/>
      <c r="B481" s="53" t="s">
        <v>80</v>
      </c>
      <c r="C481" s="54">
        <f>C435+C436+C437+C438+C439+C441+C442+C443+C444+C445+C447+C448+C449+C451+C452+C453+C454+C455+C457+C458+C459+C460+C462+C463+C464+C466+C467+C468+C470+C471+C472+C474+C475+C476+C478+C479+C480</f>
        <v>0</v>
      </c>
      <c r="D481" s="64">
        <f>D435+D436+D437+D438+D439+D441+D442+D443+D444+D445+D447+D448+D449+D451+D452+D453+D454+D455+D457+D458+D459+D460+D462+D463+D464+D466+D467+D468+D470+D471+D472+D474+D475+D476+D478+D479+D480</f>
        <v>0</v>
      </c>
      <c r="E481" s="103">
        <f>C481-D481</f>
        <v>0</v>
      </c>
      <c r="F481" s="13"/>
      <c r="G481" s="13"/>
      <c r="H481" s="13"/>
      <c r="I481" s="13"/>
      <c r="J481" s="13"/>
      <c r="K481" s="13"/>
    </row>
    <row r="482" spans="1:11" ht="6" customHeight="1" x14ac:dyDescent="0.25">
      <c r="A482" s="69"/>
      <c r="B482" s="68"/>
      <c r="C482" s="68"/>
      <c r="D482" s="68"/>
      <c r="E482" s="76"/>
      <c r="F482" s="13"/>
      <c r="G482" s="13"/>
      <c r="H482" s="13"/>
      <c r="I482" s="13"/>
      <c r="J482" s="13"/>
      <c r="K482" s="13"/>
    </row>
    <row r="483" spans="1:11" ht="24" customHeight="1" x14ac:dyDescent="0.25">
      <c r="A483" s="69"/>
      <c r="B483" s="55" t="s">
        <v>96</v>
      </c>
      <c r="C483" s="39"/>
      <c r="D483" s="70"/>
      <c r="E483" s="39"/>
      <c r="F483" s="13"/>
      <c r="G483" s="13"/>
      <c r="H483" s="13"/>
      <c r="I483" s="13"/>
      <c r="J483" s="13"/>
      <c r="K483" s="13"/>
    </row>
    <row r="484" spans="1:11" ht="21.95" customHeight="1" x14ac:dyDescent="0.25">
      <c r="A484" s="69"/>
      <c r="B484" s="56" t="s">
        <v>82</v>
      </c>
      <c r="C484" s="57">
        <f>C430</f>
        <v>0</v>
      </c>
      <c r="D484" s="84">
        <f>D430</f>
        <v>0</v>
      </c>
      <c r="E484" s="58"/>
      <c r="F484" s="13"/>
      <c r="G484" s="13"/>
      <c r="H484" s="13"/>
      <c r="I484" s="13"/>
      <c r="J484" s="13"/>
      <c r="K484" s="13"/>
    </row>
    <row r="485" spans="1:11" ht="21.95" customHeight="1" x14ac:dyDescent="0.25">
      <c r="A485" s="69"/>
      <c r="B485" s="56" t="s">
        <v>83</v>
      </c>
      <c r="C485" s="57">
        <f>C481</f>
        <v>0</v>
      </c>
      <c r="D485" s="84">
        <f>D481</f>
        <v>0</v>
      </c>
      <c r="E485" s="58"/>
      <c r="F485" s="13"/>
      <c r="G485" s="13"/>
      <c r="H485" s="13"/>
      <c r="I485" s="13"/>
      <c r="J485" s="13"/>
      <c r="K485" s="13"/>
    </row>
    <row r="486" spans="1:11" ht="21.95" customHeight="1" x14ac:dyDescent="0.25">
      <c r="A486" s="69"/>
      <c r="B486" s="59" t="s">
        <v>84</v>
      </c>
      <c r="C486" s="60">
        <f>C484-C485</f>
        <v>0</v>
      </c>
      <c r="D486" s="85">
        <f>D430-D481</f>
        <v>0</v>
      </c>
      <c r="E486" s="61"/>
      <c r="F486" s="13"/>
      <c r="G486" s="13"/>
      <c r="H486" s="13"/>
      <c r="I486" s="13"/>
      <c r="J486" s="13"/>
      <c r="K486" s="13"/>
    </row>
    <row r="487" spans="1:11" ht="21.95" customHeight="1" x14ac:dyDescent="0.25">
      <c r="A487" s="69"/>
      <c r="B487" s="78" t="s">
        <v>5</v>
      </c>
      <c r="C487" s="79" t="str">
        <f>IF(C484=0,"",1-C485/C484)</f>
        <v/>
      </c>
      <c r="D487" s="86" t="str">
        <f>IF(D430=0,"",1-D481/D430)</f>
        <v/>
      </c>
      <c r="E487" s="87"/>
      <c r="F487" s="13"/>
      <c r="G487" s="13"/>
      <c r="H487" s="13"/>
      <c r="I487" s="13"/>
      <c r="J487" s="13"/>
      <c r="K487" s="13"/>
    </row>
    <row r="488" spans="1:11" ht="6" customHeight="1" x14ac:dyDescent="0.25">
      <c r="A488" s="69"/>
      <c r="B488" s="69"/>
      <c r="C488" s="69"/>
      <c r="D488" s="69"/>
      <c r="E488" s="77"/>
      <c r="F488" s="13"/>
      <c r="G488" s="13"/>
      <c r="H488" s="13"/>
      <c r="I488" s="13"/>
      <c r="J488" s="13"/>
      <c r="K488" s="13"/>
    </row>
    <row r="489" spans="1:11" ht="6" customHeight="1" x14ac:dyDescent="0.25">
      <c r="A489" s="69"/>
      <c r="B489" s="69"/>
      <c r="C489" s="69"/>
      <c r="D489" s="69"/>
      <c r="E489" s="77"/>
      <c r="F489" s="13"/>
      <c r="G489" s="13"/>
      <c r="H489" s="13"/>
      <c r="I489" s="13"/>
      <c r="J489" s="13"/>
      <c r="K489" s="13"/>
    </row>
    <row r="490" spans="1:11" ht="6" customHeight="1" x14ac:dyDescent="0.25">
      <c r="A490" s="69"/>
      <c r="B490" s="69"/>
      <c r="C490" s="69"/>
      <c r="D490" s="69"/>
      <c r="E490" s="77"/>
      <c r="F490" s="13"/>
      <c r="G490" s="13"/>
      <c r="H490" s="13"/>
      <c r="I490" s="13"/>
      <c r="J490" s="13"/>
      <c r="K490" s="13"/>
    </row>
    <row r="491" spans="1:11" ht="32.1" customHeight="1" x14ac:dyDescent="0.25">
      <c r="A491" s="69"/>
      <c r="B491" s="80" t="s">
        <v>97</v>
      </c>
      <c r="C491" s="81"/>
      <c r="D491" s="82"/>
      <c r="E491" s="81"/>
      <c r="F491" s="13"/>
      <c r="G491" s="13"/>
      <c r="H491" s="13"/>
      <c r="I491" s="13"/>
      <c r="J491" s="13"/>
      <c r="K491" s="13"/>
    </row>
    <row r="492" spans="1:11" ht="6" customHeight="1" x14ac:dyDescent="0.25">
      <c r="A492" s="69"/>
      <c r="B492" s="37"/>
      <c r="C492" s="37"/>
      <c r="D492" s="37"/>
      <c r="E492" s="66"/>
      <c r="F492" s="13"/>
      <c r="G492" s="13"/>
      <c r="H492" s="13"/>
      <c r="I492" s="13"/>
      <c r="J492" s="13"/>
      <c r="K492" s="13"/>
    </row>
    <row r="493" spans="1:11" ht="24" customHeight="1" x14ac:dyDescent="0.25">
      <c r="A493" s="69"/>
      <c r="B493" s="40" t="s">
        <v>22</v>
      </c>
      <c r="C493" s="41"/>
      <c r="D493" s="71"/>
      <c r="E493" s="41"/>
      <c r="F493" s="13"/>
      <c r="G493" s="13"/>
      <c r="H493" s="13"/>
      <c r="I493" s="13"/>
      <c r="J493" s="13"/>
      <c r="K493" s="13"/>
    </row>
    <row r="494" spans="1:11" ht="21.95" customHeight="1" x14ac:dyDescent="0.25">
      <c r="A494" s="69"/>
      <c r="B494" s="42" t="s">
        <v>20</v>
      </c>
      <c r="C494" s="42" t="s">
        <v>23</v>
      </c>
      <c r="D494" s="72" t="s">
        <v>24</v>
      </c>
      <c r="E494" s="42" t="s">
        <v>25</v>
      </c>
      <c r="F494" s="13"/>
      <c r="G494" s="13"/>
      <c r="H494" s="13"/>
      <c r="I494" s="13"/>
      <c r="J494" s="13"/>
      <c r="K494" s="13"/>
    </row>
    <row r="495" spans="1:11" ht="20.100000000000001" customHeight="1" x14ac:dyDescent="0.25">
      <c r="A495" s="69"/>
      <c r="B495" s="43" t="s">
        <v>26</v>
      </c>
      <c r="C495" s="63"/>
      <c r="D495" s="83"/>
      <c r="E495" s="44" t="str">
        <f>IF(AND(C495="",D495=""),"",D495-C495)</f>
        <v/>
      </c>
      <c r="F495" s="13"/>
      <c r="G495" s="13"/>
      <c r="H495" s="13"/>
      <c r="I495" s="13"/>
      <c r="J495" s="13"/>
      <c r="K495" s="13"/>
    </row>
    <row r="496" spans="1:11" ht="20.100000000000001" customHeight="1" x14ac:dyDescent="0.25">
      <c r="A496" s="69"/>
      <c r="B496" s="45" t="s">
        <v>27</v>
      </c>
      <c r="C496" s="63"/>
      <c r="D496" s="83"/>
      <c r="E496" s="46" t="str">
        <f>IF(AND(C496="",D496=""),"",D496-C496)</f>
        <v/>
      </c>
      <c r="F496" s="13"/>
      <c r="G496" s="13"/>
      <c r="H496" s="13"/>
      <c r="I496" s="13"/>
      <c r="J496" s="13"/>
      <c r="K496" s="13"/>
    </row>
    <row r="497" spans="1:11" ht="20.100000000000001" customHeight="1" x14ac:dyDescent="0.25">
      <c r="A497" s="69"/>
      <c r="B497" s="43" t="s">
        <v>28</v>
      </c>
      <c r="C497" s="63"/>
      <c r="D497" s="83"/>
      <c r="E497" s="44" t="str">
        <f>IF(AND(C497="",D497=""),"",D497-C497)</f>
        <v/>
      </c>
      <c r="F497" s="13"/>
      <c r="G497" s="13"/>
      <c r="H497" s="13"/>
      <c r="I497" s="13"/>
      <c r="J497" s="13"/>
      <c r="K497" s="13"/>
    </row>
    <row r="498" spans="1:11" ht="20.100000000000001" customHeight="1" x14ac:dyDescent="0.25">
      <c r="A498" s="69"/>
      <c r="B498" s="45" t="s">
        <v>29</v>
      </c>
      <c r="C498" s="63"/>
      <c r="D498" s="83"/>
      <c r="E498" s="46" t="str">
        <f>IF(AND(C498="",D498=""),"",D498-C498)</f>
        <v/>
      </c>
      <c r="F498" s="13"/>
      <c r="G498" s="13"/>
      <c r="H498" s="13"/>
      <c r="I498" s="13"/>
      <c r="J498" s="13"/>
      <c r="K498" s="13"/>
    </row>
    <row r="499" spans="1:11" ht="20.100000000000001" customHeight="1" x14ac:dyDescent="0.25">
      <c r="A499" s="69"/>
      <c r="B499" s="43" t="s">
        <v>30</v>
      </c>
      <c r="C499" s="63"/>
      <c r="D499" s="83"/>
      <c r="E499" s="44" t="str">
        <f>IF(AND(C499="",D499=""),"",D499-C499)</f>
        <v/>
      </c>
      <c r="F499" s="13"/>
      <c r="G499" s="13"/>
      <c r="H499" s="13"/>
      <c r="I499" s="13"/>
      <c r="J499" s="13"/>
      <c r="K499" s="13"/>
    </row>
    <row r="500" spans="1:11" ht="24" customHeight="1" x14ac:dyDescent="0.25">
      <c r="A500" s="69"/>
      <c r="B500" s="47" t="s">
        <v>31</v>
      </c>
      <c r="C500" s="48">
        <f>SUM(C495:C499)</f>
        <v>0</v>
      </c>
      <c r="D500" s="73">
        <f>SUM(D495:D499)</f>
        <v>0</v>
      </c>
      <c r="E500" s="48">
        <f>D500-C500</f>
        <v>0</v>
      </c>
      <c r="F500" s="13"/>
      <c r="G500" s="13"/>
      <c r="H500" s="13"/>
      <c r="I500" s="13"/>
      <c r="J500" s="13"/>
      <c r="K500" s="13"/>
    </row>
    <row r="501" spans="1:11" ht="6" customHeight="1" x14ac:dyDescent="0.25">
      <c r="A501" s="69"/>
      <c r="B501" s="68"/>
      <c r="C501" s="68"/>
      <c r="D501" s="68"/>
      <c r="E501" s="76"/>
      <c r="F501" s="13"/>
      <c r="G501" s="13"/>
      <c r="H501" s="13"/>
      <c r="I501" s="13"/>
      <c r="J501" s="13"/>
      <c r="K501" s="13"/>
    </row>
    <row r="502" spans="1:11" ht="24" customHeight="1" x14ac:dyDescent="0.25">
      <c r="A502" s="69"/>
      <c r="B502" s="49" t="s">
        <v>32</v>
      </c>
      <c r="C502" s="50"/>
      <c r="D502" s="74"/>
      <c r="E502" s="50"/>
      <c r="F502" s="13"/>
      <c r="G502" s="13"/>
      <c r="H502" s="13"/>
      <c r="I502" s="13"/>
      <c r="J502" s="13"/>
      <c r="K502" s="13"/>
    </row>
    <row r="503" spans="1:11" ht="21.95" customHeight="1" x14ac:dyDescent="0.25">
      <c r="A503" s="69"/>
      <c r="B503" s="42" t="s">
        <v>20</v>
      </c>
      <c r="C503" s="42" t="s">
        <v>23</v>
      </c>
      <c r="D503" s="72" t="s">
        <v>24</v>
      </c>
      <c r="E503" s="42" t="s">
        <v>25</v>
      </c>
      <c r="F503" s="13"/>
      <c r="G503" s="13"/>
      <c r="H503" s="13"/>
      <c r="I503" s="13"/>
      <c r="J503" s="13"/>
      <c r="K503" s="13"/>
    </row>
    <row r="504" spans="1:11" ht="20.100000000000001" customHeight="1" x14ac:dyDescent="0.25">
      <c r="A504" s="69"/>
      <c r="B504" s="51" t="s">
        <v>33</v>
      </c>
      <c r="C504" s="52"/>
      <c r="D504" s="75"/>
      <c r="E504" s="52"/>
      <c r="F504" s="13"/>
      <c r="G504" s="13"/>
      <c r="H504" s="13"/>
      <c r="I504" s="13"/>
      <c r="J504" s="13"/>
      <c r="K504" s="13"/>
    </row>
    <row r="505" spans="1:11" ht="20.100000000000001" customHeight="1" x14ac:dyDescent="0.25">
      <c r="A505" s="69"/>
      <c r="B505" s="43" t="s">
        <v>34</v>
      </c>
      <c r="C505" s="63"/>
      <c r="D505" s="83"/>
      <c r="E505" s="44" t="str">
        <f>IF(AND(C505="",D505=""),"",C505-D505)</f>
        <v/>
      </c>
      <c r="F505" s="13"/>
      <c r="G505" s="13"/>
      <c r="H505" s="13"/>
      <c r="I505" s="13"/>
      <c r="J505" s="13"/>
      <c r="K505" s="13"/>
    </row>
    <row r="506" spans="1:11" ht="20.100000000000001" customHeight="1" x14ac:dyDescent="0.25">
      <c r="A506" s="69"/>
      <c r="B506" s="45" t="s">
        <v>35</v>
      </c>
      <c r="C506" s="63"/>
      <c r="D506" s="83"/>
      <c r="E506" s="46" t="str">
        <f>IF(AND(C506="",D506=""),"",C506-D506)</f>
        <v/>
      </c>
      <c r="F506" s="13"/>
      <c r="G506" s="13"/>
      <c r="H506" s="13"/>
      <c r="I506" s="13"/>
      <c r="J506" s="13"/>
      <c r="K506" s="13"/>
    </row>
    <row r="507" spans="1:11" ht="20.100000000000001" customHeight="1" x14ac:dyDescent="0.25">
      <c r="A507" s="69"/>
      <c r="B507" s="43" t="s">
        <v>36</v>
      </c>
      <c r="C507" s="63"/>
      <c r="D507" s="83"/>
      <c r="E507" s="44" t="str">
        <f>IF(AND(C507="",D507=""),"",C507-D507)</f>
        <v/>
      </c>
      <c r="F507" s="13"/>
      <c r="G507" s="13"/>
      <c r="H507" s="13"/>
      <c r="I507" s="13"/>
      <c r="J507" s="13"/>
      <c r="K507" s="13"/>
    </row>
    <row r="508" spans="1:11" ht="20.100000000000001" customHeight="1" x14ac:dyDescent="0.25">
      <c r="A508" s="69"/>
      <c r="B508" s="45" t="s">
        <v>37</v>
      </c>
      <c r="C508" s="63"/>
      <c r="D508" s="83"/>
      <c r="E508" s="46" t="str">
        <f>IF(AND(C508="",D508=""),"",C508-D508)</f>
        <v/>
      </c>
      <c r="F508" s="13"/>
      <c r="G508" s="13"/>
      <c r="H508" s="13"/>
      <c r="I508" s="13"/>
      <c r="J508" s="13"/>
      <c r="K508" s="13"/>
    </row>
    <row r="509" spans="1:11" ht="20.100000000000001" customHeight="1" x14ac:dyDescent="0.25">
      <c r="A509" s="69"/>
      <c r="B509" s="43" t="s">
        <v>38</v>
      </c>
      <c r="C509" s="63"/>
      <c r="D509" s="83"/>
      <c r="E509" s="44" t="str">
        <f>IF(AND(C509="",D509=""),"",C509-D509)</f>
        <v/>
      </c>
      <c r="F509" s="13"/>
      <c r="G509" s="13"/>
      <c r="H509" s="13"/>
      <c r="I509" s="13"/>
      <c r="J509" s="13"/>
      <c r="K509" s="13"/>
    </row>
    <row r="510" spans="1:11" ht="20.100000000000001" customHeight="1" x14ac:dyDescent="0.25">
      <c r="A510" s="69"/>
      <c r="B510" s="51" t="s">
        <v>39</v>
      </c>
      <c r="C510" s="52"/>
      <c r="D510" s="75"/>
      <c r="E510" s="52"/>
      <c r="F510" s="13"/>
      <c r="G510" s="13"/>
      <c r="H510" s="13"/>
      <c r="I510" s="13"/>
      <c r="J510" s="13"/>
      <c r="K510" s="13"/>
    </row>
    <row r="511" spans="1:11" ht="20.100000000000001" customHeight="1" x14ac:dyDescent="0.25">
      <c r="A511" s="69"/>
      <c r="B511" s="43" t="s">
        <v>40</v>
      </c>
      <c r="C511" s="63"/>
      <c r="D511" s="83"/>
      <c r="E511" s="44" t="str">
        <f>IF(AND(C511="",D511=""),"",C511-D511)</f>
        <v/>
      </c>
      <c r="F511" s="13"/>
      <c r="G511" s="13"/>
      <c r="H511" s="13"/>
      <c r="I511" s="13"/>
      <c r="J511" s="13"/>
      <c r="K511" s="13"/>
    </row>
    <row r="512" spans="1:11" ht="20.100000000000001" customHeight="1" x14ac:dyDescent="0.25">
      <c r="A512" s="69"/>
      <c r="B512" s="45" t="s">
        <v>41</v>
      </c>
      <c r="C512" s="63"/>
      <c r="D512" s="83"/>
      <c r="E512" s="46" t="str">
        <f>IF(AND(C512="",D512=""),"",C512-D512)</f>
        <v/>
      </c>
      <c r="F512" s="13"/>
      <c r="G512" s="13"/>
      <c r="H512" s="13"/>
      <c r="I512" s="13"/>
      <c r="J512" s="13"/>
      <c r="K512" s="13"/>
    </row>
    <row r="513" spans="1:11" ht="20.100000000000001" customHeight="1" x14ac:dyDescent="0.25">
      <c r="A513" s="69"/>
      <c r="B513" s="43" t="s">
        <v>42</v>
      </c>
      <c r="C513" s="63"/>
      <c r="D513" s="83"/>
      <c r="E513" s="44" t="str">
        <f>IF(AND(C513="",D513=""),"",C513-D513)</f>
        <v/>
      </c>
      <c r="F513" s="13"/>
      <c r="G513" s="13"/>
      <c r="H513" s="13"/>
      <c r="I513" s="13"/>
      <c r="J513" s="13"/>
      <c r="K513" s="13"/>
    </row>
    <row r="514" spans="1:11" ht="20.100000000000001" customHeight="1" x14ac:dyDescent="0.25">
      <c r="A514" s="69"/>
      <c r="B514" s="45" t="s">
        <v>43</v>
      </c>
      <c r="C514" s="63"/>
      <c r="D514" s="83"/>
      <c r="E514" s="46" t="str">
        <f>IF(AND(C514="",D514=""),"",C514-D514)</f>
        <v/>
      </c>
      <c r="F514" s="13"/>
      <c r="G514" s="13"/>
      <c r="H514" s="13"/>
      <c r="I514" s="13"/>
      <c r="J514" s="13"/>
      <c r="K514" s="13"/>
    </row>
    <row r="515" spans="1:11" ht="20.100000000000001" customHeight="1" x14ac:dyDescent="0.25">
      <c r="A515" s="69"/>
      <c r="B515" s="43" t="s">
        <v>44</v>
      </c>
      <c r="C515" s="63"/>
      <c r="D515" s="83"/>
      <c r="E515" s="44" t="str">
        <f>IF(AND(C515="",D515=""),"",C515-D515)</f>
        <v/>
      </c>
      <c r="F515" s="13"/>
      <c r="G515" s="13"/>
      <c r="H515" s="13"/>
      <c r="I515" s="13"/>
      <c r="J515" s="13"/>
      <c r="K515" s="13"/>
    </row>
    <row r="516" spans="1:11" ht="20.100000000000001" customHeight="1" x14ac:dyDescent="0.25">
      <c r="A516" s="69"/>
      <c r="B516" s="51" t="s">
        <v>45</v>
      </c>
      <c r="C516" s="52"/>
      <c r="D516" s="75"/>
      <c r="E516" s="52"/>
      <c r="F516" s="13"/>
      <c r="G516" s="13"/>
      <c r="H516" s="13"/>
      <c r="I516" s="13"/>
      <c r="J516" s="13"/>
      <c r="K516" s="13"/>
    </row>
    <row r="517" spans="1:11" ht="20.100000000000001" customHeight="1" x14ac:dyDescent="0.25">
      <c r="A517" s="69"/>
      <c r="B517" s="43" t="s">
        <v>46</v>
      </c>
      <c r="C517" s="63"/>
      <c r="D517" s="83"/>
      <c r="E517" s="44" t="str">
        <f>IF(AND(C517="",D517=""),"",C517-D517)</f>
        <v/>
      </c>
      <c r="F517" s="13"/>
      <c r="G517" s="13"/>
      <c r="H517" s="13"/>
      <c r="I517" s="13"/>
      <c r="J517" s="13"/>
      <c r="K517" s="13"/>
    </row>
    <row r="518" spans="1:11" ht="20.100000000000001" customHeight="1" x14ac:dyDescent="0.25">
      <c r="A518" s="69"/>
      <c r="B518" s="45" t="s">
        <v>47</v>
      </c>
      <c r="C518" s="63"/>
      <c r="D518" s="83"/>
      <c r="E518" s="46" t="str">
        <f>IF(AND(C518="",D518=""),"",C518-D518)</f>
        <v/>
      </c>
      <c r="F518" s="13"/>
      <c r="G518" s="13"/>
      <c r="H518" s="13"/>
      <c r="I518" s="13"/>
      <c r="J518" s="13"/>
      <c r="K518" s="13"/>
    </row>
    <row r="519" spans="1:11" ht="20.100000000000001" customHeight="1" x14ac:dyDescent="0.25">
      <c r="A519" s="69"/>
      <c r="B519" s="43" t="s">
        <v>48</v>
      </c>
      <c r="C519" s="63"/>
      <c r="D519" s="83"/>
      <c r="E519" s="44" t="str">
        <f>IF(AND(C519="",D519=""),"",C519-D519)</f>
        <v/>
      </c>
      <c r="F519" s="13"/>
      <c r="G519" s="13"/>
      <c r="H519" s="13"/>
      <c r="I519" s="13"/>
      <c r="J519" s="13"/>
      <c r="K519" s="13"/>
    </row>
    <row r="520" spans="1:11" ht="20.100000000000001" customHeight="1" x14ac:dyDescent="0.25">
      <c r="A520" s="69"/>
      <c r="B520" s="51" t="s">
        <v>49</v>
      </c>
      <c r="C520" s="52"/>
      <c r="D520" s="75"/>
      <c r="E520" s="52"/>
      <c r="F520" s="13"/>
      <c r="G520" s="13"/>
      <c r="H520" s="13"/>
      <c r="I520" s="13"/>
      <c r="J520" s="13"/>
      <c r="K520" s="13"/>
    </row>
    <row r="521" spans="1:11" ht="20.100000000000001" customHeight="1" x14ac:dyDescent="0.25">
      <c r="A521" s="69"/>
      <c r="B521" s="43" t="s">
        <v>50</v>
      </c>
      <c r="C521" s="63"/>
      <c r="D521" s="83"/>
      <c r="E521" s="44" t="str">
        <f>IF(AND(C521="",D521=""),"",C521-D521)</f>
        <v/>
      </c>
      <c r="F521" s="13"/>
      <c r="G521" s="13"/>
      <c r="H521" s="13"/>
      <c r="I521" s="13"/>
      <c r="J521" s="13"/>
      <c r="K521" s="13"/>
    </row>
    <row r="522" spans="1:11" ht="20.100000000000001" customHeight="1" x14ac:dyDescent="0.25">
      <c r="A522" s="69"/>
      <c r="B522" s="45" t="s">
        <v>51</v>
      </c>
      <c r="C522" s="63"/>
      <c r="D522" s="83"/>
      <c r="E522" s="46" t="str">
        <f>IF(AND(C522="",D522=""),"",C522-D522)</f>
        <v/>
      </c>
      <c r="F522" s="13"/>
      <c r="G522" s="13"/>
      <c r="H522" s="13"/>
      <c r="I522" s="13"/>
      <c r="J522" s="13"/>
      <c r="K522" s="13"/>
    </row>
    <row r="523" spans="1:11" ht="20.100000000000001" customHeight="1" x14ac:dyDescent="0.25">
      <c r="A523" s="69"/>
      <c r="B523" s="43" t="s">
        <v>52</v>
      </c>
      <c r="C523" s="63"/>
      <c r="D523" s="83"/>
      <c r="E523" s="44" t="str">
        <f>IF(AND(C523="",D523=""),"",C523-D523)</f>
        <v/>
      </c>
      <c r="F523" s="13"/>
      <c r="G523" s="13"/>
      <c r="H523" s="13"/>
      <c r="I523" s="13"/>
      <c r="J523" s="13"/>
      <c r="K523" s="13"/>
    </row>
    <row r="524" spans="1:11" ht="20.100000000000001" customHeight="1" x14ac:dyDescent="0.25">
      <c r="A524" s="69"/>
      <c r="B524" s="45" t="s">
        <v>53</v>
      </c>
      <c r="C524" s="63"/>
      <c r="D524" s="83"/>
      <c r="E524" s="46" t="str">
        <f>IF(AND(C524="",D524=""),"",C524-D524)</f>
        <v/>
      </c>
      <c r="F524" s="13"/>
      <c r="G524" s="13"/>
      <c r="H524" s="13"/>
      <c r="I524" s="13"/>
      <c r="J524" s="13"/>
      <c r="K524" s="13"/>
    </row>
    <row r="525" spans="1:11" ht="20.100000000000001" customHeight="1" x14ac:dyDescent="0.25">
      <c r="A525" s="69"/>
      <c r="B525" s="43" t="s">
        <v>54</v>
      </c>
      <c r="C525" s="63"/>
      <c r="D525" s="83"/>
      <c r="E525" s="44" t="str">
        <f>IF(AND(C525="",D525=""),"",C525-D525)</f>
        <v/>
      </c>
      <c r="F525" s="13"/>
      <c r="G525" s="13"/>
      <c r="H525" s="13"/>
      <c r="I525" s="13"/>
      <c r="J525" s="13"/>
      <c r="K525" s="13"/>
    </row>
    <row r="526" spans="1:11" ht="20.100000000000001" customHeight="1" x14ac:dyDescent="0.25">
      <c r="A526" s="69"/>
      <c r="B526" s="51" t="s">
        <v>55</v>
      </c>
      <c r="C526" s="52"/>
      <c r="D526" s="75"/>
      <c r="E526" s="52"/>
      <c r="F526" s="13"/>
      <c r="G526" s="13"/>
      <c r="H526" s="13"/>
      <c r="I526" s="13"/>
      <c r="J526" s="13"/>
      <c r="K526" s="13"/>
    </row>
    <row r="527" spans="1:11" ht="20.100000000000001" customHeight="1" x14ac:dyDescent="0.25">
      <c r="A527" s="69"/>
      <c r="B527" s="43" t="s">
        <v>56</v>
      </c>
      <c r="C527" s="63"/>
      <c r="D527" s="83"/>
      <c r="E527" s="44" t="str">
        <f>IF(AND(C527="",D527=""),"",C527-D527)</f>
        <v/>
      </c>
      <c r="F527" s="13"/>
      <c r="G527" s="13"/>
      <c r="H527" s="13"/>
      <c r="I527" s="13"/>
      <c r="J527" s="13"/>
      <c r="K527" s="13"/>
    </row>
    <row r="528" spans="1:11" ht="20.100000000000001" customHeight="1" x14ac:dyDescent="0.25">
      <c r="A528" s="69"/>
      <c r="B528" s="45" t="s">
        <v>57</v>
      </c>
      <c r="C528" s="63"/>
      <c r="D528" s="83"/>
      <c r="E528" s="46" t="str">
        <f>IF(AND(C528="",D528=""),"",C528-D528)</f>
        <v/>
      </c>
      <c r="F528" s="13"/>
      <c r="G528" s="13"/>
      <c r="H528" s="13"/>
      <c r="I528" s="13"/>
      <c r="J528" s="13"/>
      <c r="K528" s="13"/>
    </row>
    <row r="529" spans="1:11" ht="20.100000000000001" customHeight="1" x14ac:dyDescent="0.25">
      <c r="A529" s="69"/>
      <c r="B529" s="43" t="s">
        <v>58</v>
      </c>
      <c r="C529" s="63"/>
      <c r="D529" s="83"/>
      <c r="E529" s="44" t="str">
        <f>IF(AND(C529="",D529=""),"",C529-D529)</f>
        <v/>
      </c>
      <c r="F529" s="13"/>
      <c r="G529" s="13"/>
      <c r="H529" s="13"/>
      <c r="I529" s="13"/>
      <c r="J529" s="13"/>
      <c r="K529" s="13"/>
    </row>
    <row r="530" spans="1:11" ht="20.100000000000001" customHeight="1" x14ac:dyDescent="0.25">
      <c r="A530" s="69"/>
      <c r="B530" s="45" t="s">
        <v>59</v>
      </c>
      <c r="C530" s="63"/>
      <c r="D530" s="83"/>
      <c r="E530" s="46" t="str">
        <f>IF(AND(C530="",D530=""),"",C530-D530)</f>
        <v/>
      </c>
      <c r="F530" s="13"/>
      <c r="G530" s="13"/>
      <c r="H530" s="13"/>
      <c r="I530" s="13"/>
      <c r="J530" s="13"/>
      <c r="K530" s="13"/>
    </row>
    <row r="531" spans="1:11" ht="20.100000000000001" customHeight="1" x14ac:dyDescent="0.25">
      <c r="A531" s="69"/>
      <c r="B531" s="51" t="s">
        <v>60</v>
      </c>
      <c r="C531" s="52"/>
      <c r="D531" s="75"/>
      <c r="E531" s="52"/>
      <c r="F531" s="13"/>
      <c r="G531" s="13"/>
      <c r="H531" s="13"/>
      <c r="I531" s="13"/>
      <c r="J531" s="13"/>
      <c r="K531" s="13"/>
    </row>
    <row r="532" spans="1:11" ht="20.100000000000001" customHeight="1" x14ac:dyDescent="0.25">
      <c r="A532" s="69"/>
      <c r="B532" s="43" t="s">
        <v>61</v>
      </c>
      <c r="C532" s="63"/>
      <c r="D532" s="83"/>
      <c r="E532" s="44" t="str">
        <f>IF(AND(C532="",D532=""),"",C532-D532)</f>
        <v/>
      </c>
      <c r="F532" s="13"/>
      <c r="G532" s="13"/>
      <c r="H532" s="13"/>
      <c r="I532" s="13"/>
      <c r="J532" s="13"/>
      <c r="K532" s="13"/>
    </row>
    <row r="533" spans="1:11" ht="20.100000000000001" customHeight="1" x14ac:dyDescent="0.25">
      <c r="A533" s="69"/>
      <c r="B533" s="45" t="s">
        <v>62</v>
      </c>
      <c r="C533" s="63"/>
      <c r="D533" s="83"/>
      <c r="E533" s="46" t="str">
        <f>IF(AND(C533="",D533=""),"",C533-D533)</f>
        <v/>
      </c>
      <c r="F533" s="13"/>
      <c r="G533" s="13"/>
      <c r="H533" s="13"/>
      <c r="I533" s="13"/>
      <c r="J533" s="13"/>
      <c r="K533" s="13"/>
    </row>
    <row r="534" spans="1:11" ht="20.100000000000001" customHeight="1" x14ac:dyDescent="0.25">
      <c r="A534" s="69"/>
      <c r="B534" s="43" t="s">
        <v>63</v>
      </c>
      <c r="C534" s="63"/>
      <c r="D534" s="83"/>
      <c r="E534" s="44" t="str">
        <f>IF(AND(C534="",D534=""),"",C534-D534)</f>
        <v/>
      </c>
      <c r="F534" s="13"/>
      <c r="G534" s="13"/>
      <c r="H534" s="13"/>
      <c r="I534" s="13"/>
      <c r="J534" s="13"/>
      <c r="K534" s="13"/>
    </row>
    <row r="535" spans="1:11" ht="20.100000000000001" customHeight="1" x14ac:dyDescent="0.25">
      <c r="A535" s="69"/>
      <c r="B535" s="51" t="s">
        <v>64</v>
      </c>
      <c r="C535" s="52"/>
      <c r="D535" s="75"/>
      <c r="E535" s="52"/>
      <c r="F535" s="13"/>
      <c r="G535" s="13"/>
      <c r="H535" s="13"/>
      <c r="I535" s="13"/>
      <c r="J535" s="13"/>
      <c r="K535" s="13"/>
    </row>
    <row r="536" spans="1:11" ht="20.100000000000001" customHeight="1" x14ac:dyDescent="0.25">
      <c r="A536" s="69"/>
      <c r="B536" s="43" t="s">
        <v>65</v>
      </c>
      <c r="C536" s="63"/>
      <c r="D536" s="83"/>
      <c r="E536" s="44" t="str">
        <f>IF(AND(C536="",D536=""),"",C536-D536)</f>
        <v/>
      </c>
      <c r="F536" s="13"/>
      <c r="G536" s="13"/>
      <c r="H536" s="13"/>
      <c r="I536" s="13"/>
      <c r="J536" s="13"/>
      <c r="K536" s="13"/>
    </row>
    <row r="537" spans="1:11" ht="20.100000000000001" customHeight="1" x14ac:dyDescent="0.25">
      <c r="A537" s="69"/>
      <c r="B537" s="45" t="s">
        <v>66</v>
      </c>
      <c r="C537" s="63"/>
      <c r="D537" s="83"/>
      <c r="E537" s="46" t="str">
        <f>IF(AND(C537="",D537=""),"",C537-D537)</f>
        <v/>
      </c>
      <c r="F537" s="13"/>
      <c r="G537" s="13"/>
      <c r="H537" s="13"/>
      <c r="I537" s="13"/>
      <c r="J537" s="13"/>
      <c r="K537" s="13"/>
    </row>
    <row r="538" spans="1:11" ht="20.100000000000001" customHeight="1" x14ac:dyDescent="0.25">
      <c r="A538" s="69"/>
      <c r="B538" s="43" t="s">
        <v>67</v>
      </c>
      <c r="C538" s="63"/>
      <c r="D538" s="83"/>
      <c r="E538" s="44" t="str">
        <f>IF(AND(C538="",D538=""),"",C538-D538)</f>
        <v/>
      </c>
      <c r="F538" s="13"/>
      <c r="G538" s="13"/>
      <c r="H538" s="13"/>
      <c r="I538" s="13"/>
      <c r="J538" s="13"/>
      <c r="K538" s="13"/>
    </row>
    <row r="539" spans="1:11" ht="20.100000000000001" customHeight="1" x14ac:dyDescent="0.25">
      <c r="A539" s="69"/>
      <c r="B539" s="51" t="s">
        <v>68</v>
      </c>
      <c r="C539" s="52"/>
      <c r="D539" s="75"/>
      <c r="E539" s="52"/>
      <c r="F539" s="13"/>
      <c r="G539" s="13"/>
      <c r="H539" s="13"/>
      <c r="I539" s="13"/>
      <c r="J539" s="13"/>
      <c r="K539" s="13"/>
    </row>
    <row r="540" spans="1:11" ht="20.100000000000001" customHeight="1" x14ac:dyDescent="0.25">
      <c r="A540" s="69"/>
      <c r="B540" s="43" t="s">
        <v>69</v>
      </c>
      <c r="C540" s="63"/>
      <c r="D540" s="83"/>
      <c r="E540" s="44" t="str">
        <f>IF(AND(C540="",D540=""),"",C540-D540)</f>
        <v/>
      </c>
      <c r="F540" s="13"/>
      <c r="G540" s="13"/>
      <c r="H540" s="13"/>
      <c r="I540" s="13"/>
      <c r="J540" s="13"/>
      <c r="K540" s="13"/>
    </row>
    <row r="541" spans="1:11" ht="20.100000000000001" customHeight="1" x14ac:dyDescent="0.25">
      <c r="A541" s="69"/>
      <c r="B541" s="45" t="s">
        <v>70</v>
      </c>
      <c r="C541" s="63"/>
      <c r="D541" s="83"/>
      <c r="E541" s="46" t="str">
        <f>IF(AND(C541="",D541=""),"",C541-D541)</f>
        <v/>
      </c>
      <c r="F541" s="13"/>
      <c r="G541" s="13"/>
      <c r="H541" s="13"/>
      <c r="I541" s="13"/>
      <c r="J541" s="13"/>
      <c r="K541" s="13"/>
    </row>
    <row r="542" spans="1:11" ht="20.100000000000001" customHeight="1" x14ac:dyDescent="0.25">
      <c r="A542" s="69"/>
      <c r="B542" s="43" t="s">
        <v>71</v>
      </c>
      <c r="C542" s="63"/>
      <c r="D542" s="83"/>
      <c r="E542" s="44" t="str">
        <f>IF(AND(C542="",D542=""),"",C542-D542)</f>
        <v/>
      </c>
      <c r="F542" s="13"/>
      <c r="G542" s="13"/>
      <c r="H542" s="13"/>
      <c r="I542" s="13"/>
      <c r="J542" s="13"/>
      <c r="K542" s="13"/>
    </row>
    <row r="543" spans="1:11" ht="20.100000000000001" customHeight="1" x14ac:dyDescent="0.25">
      <c r="A543" s="69"/>
      <c r="B543" s="51" t="s">
        <v>72</v>
      </c>
      <c r="C543" s="52"/>
      <c r="D543" s="75"/>
      <c r="E543" s="52"/>
      <c r="F543" s="13"/>
      <c r="G543" s="13"/>
      <c r="H543" s="13"/>
      <c r="I543" s="13"/>
      <c r="J543" s="13"/>
      <c r="K543" s="13"/>
    </row>
    <row r="544" spans="1:11" ht="20.100000000000001" customHeight="1" x14ac:dyDescent="0.25">
      <c r="A544" s="69"/>
      <c r="B544" s="43" t="s">
        <v>73</v>
      </c>
      <c r="C544" s="63"/>
      <c r="D544" s="83"/>
      <c r="E544" s="44" t="str">
        <f>IF(AND(C544="",D544=""),"",C544-D544)</f>
        <v/>
      </c>
      <c r="F544" s="13"/>
      <c r="G544" s="13"/>
      <c r="H544" s="13"/>
      <c r="I544" s="13"/>
      <c r="J544" s="13"/>
      <c r="K544" s="13"/>
    </row>
    <row r="545" spans="1:11" ht="20.100000000000001" customHeight="1" x14ac:dyDescent="0.25">
      <c r="A545" s="69"/>
      <c r="B545" s="45" t="s">
        <v>74</v>
      </c>
      <c r="C545" s="63"/>
      <c r="D545" s="83"/>
      <c r="E545" s="46" t="str">
        <f>IF(AND(C545="",D545=""),"",C545-D545)</f>
        <v/>
      </c>
      <c r="F545" s="13"/>
      <c r="G545" s="13"/>
      <c r="H545" s="13"/>
      <c r="I545" s="13"/>
      <c r="J545" s="13"/>
      <c r="K545" s="13"/>
    </row>
    <row r="546" spans="1:11" ht="20.100000000000001" customHeight="1" x14ac:dyDescent="0.25">
      <c r="A546" s="69"/>
      <c r="B546" s="43" t="s">
        <v>75</v>
      </c>
      <c r="C546" s="63"/>
      <c r="D546" s="83"/>
      <c r="E546" s="44" t="str">
        <f>IF(AND(C546="",D546=""),"",C546-D546)</f>
        <v/>
      </c>
      <c r="F546" s="13"/>
      <c r="G546" s="13"/>
      <c r="H546" s="13"/>
      <c r="I546" s="13"/>
      <c r="J546" s="13"/>
      <c r="K546" s="13"/>
    </row>
    <row r="547" spans="1:11" ht="20.100000000000001" customHeight="1" x14ac:dyDescent="0.25">
      <c r="A547" s="69"/>
      <c r="B547" s="51" t="s">
        <v>76</v>
      </c>
      <c r="C547" s="52"/>
      <c r="D547" s="75"/>
      <c r="E547" s="52"/>
      <c r="F547" s="13"/>
      <c r="G547" s="13"/>
      <c r="H547" s="13"/>
      <c r="I547" s="13"/>
      <c r="J547" s="13"/>
      <c r="K547" s="13"/>
    </row>
    <row r="548" spans="1:11" ht="20.100000000000001" customHeight="1" x14ac:dyDescent="0.25">
      <c r="A548" s="69"/>
      <c r="B548" s="43" t="s">
        <v>77</v>
      </c>
      <c r="C548" s="63"/>
      <c r="D548" s="83"/>
      <c r="E548" s="44" t="str">
        <f>IF(AND(C548="",D548=""),"",C548-D548)</f>
        <v/>
      </c>
      <c r="F548" s="13"/>
      <c r="G548" s="13"/>
      <c r="H548" s="13"/>
      <c r="I548" s="13"/>
      <c r="J548" s="13"/>
      <c r="K548" s="13"/>
    </row>
    <row r="549" spans="1:11" ht="20.100000000000001" customHeight="1" x14ac:dyDescent="0.25">
      <c r="A549" s="69"/>
      <c r="B549" s="45" t="s">
        <v>78</v>
      </c>
      <c r="C549" s="63"/>
      <c r="D549" s="83"/>
      <c r="E549" s="46" t="str">
        <f>IF(AND(C549="",D549=""),"",C549-D549)</f>
        <v/>
      </c>
      <c r="F549" s="13"/>
      <c r="G549" s="13"/>
      <c r="H549" s="13"/>
      <c r="I549" s="13"/>
      <c r="J549" s="13"/>
      <c r="K549" s="13"/>
    </row>
    <row r="550" spans="1:11" ht="20.100000000000001" customHeight="1" x14ac:dyDescent="0.25">
      <c r="A550" s="69"/>
      <c r="B550" s="43" t="s">
        <v>79</v>
      </c>
      <c r="C550" s="63"/>
      <c r="D550" s="83"/>
      <c r="E550" s="65" t="str">
        <f>IF(AND(C550="",D550=""),"",C550-D550)</f>
        <v/>
      </c>
      <c r="F550" s="13"/>
      <c r="G550" s="13"/>
      <c r="H550" s="13"/>
      <c r="I550" s="13"/>
      <c r="J550" s="13"/>
      <c r="K550" s="13"/>
    </row>
    <row r="551" spans="1:11" ht="24" customHeight="1" x14ac:dyDescent="0.25">
      <c r="A551" s="69"/>
      <c r="B551" s="53" t="s">
        <v>80</v>
      </c>
      <c r="C551" s="54">
        <f>C505+C506+C507+C508+C509+C511+C512+C513+C514+C515+C517+C518+C519+C521+C522+C523+C524+C525+C527+C528+C529+C530+C532+C533+C534+C536+C537+C538+C540+C541+C542+C544+C545+C546+C548+C549+C550</f>
        <v>0</v>
      </c>
      <c r="D551" s="64">
        <f>D505+D506+D507+D508+D509+D511+D512+D513+D514+D515+D517+D518+D519+D521+D522+D523+D524+D525+D527+D528+D529+D530+D532+D533+D534+D536+D537+D538+D540+D541+D542+D544+D545+D546+D548+D549+D550</f>
        <v>0</v>
      </c>
      <c r="E551" s="103">
        <f>C551-D551</f>
        <v>0</v>
      </c>
      <c r="F551" s="13"/>
      <c r="G551" s="13"/>
      <c r="H551" s="13"/>
      <c r="I551" s="13"/>
      <c r="J551" s="13"/>
      <c r="K551" s="13"/>
    </row>
    <row r="552" spans="1:11" ht="6" customHeight="1" x14ac:dyDescent="0.25">
      <c r="A552" s="69"/>
      <c r="B552" s="68"/>
      <c r="C552" s="68"/>
      <c r="D552" s="68"/>
      <c r="E552" s="76"/>
      <c r="F552" s="13"/>
      <c r="G552" s="13"/>
      <c r="H552" s="13"/>
      <c r="I552" s="13"/>
      <c r="J552" s="13"/>
      <c r="K552" s="13"/>
    </row>
    <row r="553" spans="1:11" ht="24" customHeight="1" x14ac:dyDescent="0.25">
      <c r="A553" s="69"/>
      <c r="B553" s="55" t="s">
        <v>98</v>
      </c>
      <c r="C553" s="39"/>
      <c r="D553" s="70"/>
      <c r="E553" s="39"/>
      <c r="F553" s="13"/>
      <c r="G553" s="13"/>
      <c r="H553" s="13"/>
      <c r="I553" s="13"/>
      <c r="J553" s="13"/>
      <c r="K553" s="13"/>
    </row>
    <row r="554" spans="1:11" ht="21.95" customHeight="1" x14ac:dyDescent="0.25">
      <c r="A554" s="69"/>
      <c r="B554" s="56" t="s">
        <v>82</v>
      </c>
      <c r="C554" s="57">
        <f>C500</f>
        <v>0</v>
      </c>
      <c r="D554" s="84">
        <f>D500</f>
        <v>0</v>
      </c>
      <c r="E554" s="58"/>
      <c r="F554" s="13"/>
      <c r="G554" s="13"/>
      <c r="H554" s="13"/>
      <c r="I554" s="13"/>
      <c r="J554" s="13"/>
      <c r="K554" s="13"/>
    </row>
    <row r="555" spans="1:11" ht="21.95" customHeight="1" x14ac:dyDescent="0.25">
      <c r="A555" s="69"/>
      <c r="B555" s="56" t="s">
        <v>83</v>
      </c>
      <c r="C555" s="57">
        <f>C551</f>
        <v>0</v>
      </c>
      <c r="D555" s="84">
        <f>D551</f>
        <v>0</v>
      </c>
      <c r="E555" s="58"/>
      <c r="F555" s="13"/>
      <c r="G555" s="13"/>
      <c r="H555" s="13"/>
      <c r="I555" s="13"/>
      <c r="J555" s="13"/>
      <c r="K555" s="13"/>
    </row>
    <row r="556" spans="1:11" ht="21.95" customHeight="1" x14ac:dyDescent="0.25">
      <c r="A556" s="69"/>
      <c r="B556" s="59" t="s">
        <v>84</v>
      </c>
      <c r="C556" s="60">
        <f>C554-C555</f>
        <v>0</v>
      </c>
      <c r="D556" s="85">
        <f>D500-D551</f>
        <v>0</v>
      </c>
      <c r="E556" s="61"/>
      <c r="F556" s="13"/>
      <c r="G556" s="13"/>
      <c r="H556" s="13"/>
      <c r="I556" s="13"/>
      <c r="J556" s="13"/>
      <c r="K556" s="13"/>
    </row>
    <row r="557" spans="1:11" ht="21.95" customHeight="1" x14ac:dyDescent="0.25">
      <c r="A557" s="69"/>
      <c r="B557" s="78" t="s">
        <v>5</v>
      </c>
      <c r="C557" s="79" t="str">
        <f>IF(C554=0,"",1-C555/C554)</f>
        <v/>
      </c>
      <c r="D557" s="86" t="str">
        <f>IF(D500=0,"",1-D551/D500)</f>
        <v/>
      </c>
      <c r="E557" s="87"/>
      <c r="F557" s="13"/>
      <c r="G557" s="13"/>
      <c r="H557" s="13"/>
      <c r="I557" s="13"/>
      <c r="J557" s="13"/>
      <c r="K557" s="13"/>
    </row>
    <row r="558" spans="1:11" ht="6" customHeight="1" x14ac:dyDescent="0.25">
      <c r="A558" s="69"/>
      <c r="B558" s="69"/>
      <c r="C558" s="69"/>
      <c r="D558" s="69"/>
      <c r="E558" s="77"/>
      <c r="F558" s="13"/>
      <c r="G558" s="13"/>
      <c r="H558" s="13"/>
      <c r="I558" s="13"/>
      <c r="J558" s="13"/>
      <c r="K558" s="13"/>
    </row>
    <row r="559" spans="1:11" ht="6" customHeight="1" x14ac:dyDescent="0.25">
      <c r="A559" s="69"/>
      <c r="B559" s="69"/>
      <c r="C559" s="69"/>
      <c r="D559" s="69"/>
      <c r="E559" s="77"/>
      <c r="F559" s="13"/>
      <c r="G559" s="13"/>
      <c r="H559" s="13"/>
      <c r="I559" s="13"/>
      <c r="J559" s="13"/>
      <c r="K559" s="13"/>
    </row>
    <row r="560" spans="1:11" ht="6" customHeight="1" x14ac:dyDescent="0.25">
      <c r="A560" s="69"/>
      <c r="B560" s="69"/>
      <c r="C560" s="69"/>
      <c r="D560" s="69"/>
      <c r="E560" s="77"/>
      <c r="F560" s="13"/>
      <c r="G560" s="13"/>
      <c r="H560" s="13"/>
      <c r="I560" s="13"/>
      <c r="J560" s="13"/>
      <c r="K560" s="13"/>
    </row>
    <row r="561" spans="1:11" ht="32.1" customHeight="1" x14ac:dyDescent="0.25">
      <c r="A561" s="69"/>
      <c r="B561" s="80" t="s">
        <v>99</v>
      </c>
      <c r="C561" s="81"/>
      <c r="D561" s="82"/>
      <c r="E561" s="81"/>
      <c r="F561" s="13"/>
      <c r="G561" s="13"/>
      <c r="H561" s="13"/>
      <c r="I561" s="13"/>
      <c r="J561" s="13"/>
      <c r="K561" s="13"/>
    </row>
    <row r="562" spans="1:11" ht="6" customHeight="1" x14ac:dyDescent="0.25">
      <c r="A562" s="69"/>
      <c r="B562" s="37"/>
      <c r="C562" s="37"/>
      <c r="D562" s="37"/>
      <c r="E562" s="66"/>
      <c r="F562" s="13"/>
      <c r="G562" s="13"/>
      <c r="H562" s="13"/>
      <c r="I562" s="13"/>
      <c r="J562" s="13"/>
      <c r="K562" s="13"/>
    </row>
    <row r="563" spans="1:11" ht="24" customHeight="1" x14ac:dyDescent="0.25">
      <c r="A563" s="69"/>
      <c r="B563" s="40" t="s">
        <v>22</v>
      </c>
      <c r="C563" s="41"/>
      <c r="D563" s="71"/>
      <c r="E563" s="41"/>
      <c r="F563" s="13"/>
      <c r="G563" s="13"/>
      <c r="H563" s="13"/>
      <c r="I563" s="13"/>
      <c r="J563" s="13"/>
      <c r="K563" s="13"/>
    </row>
    <row r="564" spans="1:11" ht="21.95" customHeight="1" x14ac:dyDescent="0.25">
      <c r="A564" s="69"/>
      <c r="B564" s="42" t="s">
        <v>20</v>
      </c>
      <c r="C564" s="42" t="s">
        <v>23</v>
      </c>
      <c r="D564" s="72" t="s">
        <v>24</v>
      </c>
      <c r="E564" s="42" t="s">
        <v>25</v>
      </c>
      <c r="F564" s="13"/>
      <c r="G564" s="13"/>
      <c r="H564" s="13"/>
      <c r="I564" s="13"/>
      <c r="J564" s="13"/>
      <c r="K564" s="13"/>
    </row>
    <row r="565" spans="1:11" ht="20.100000000000001" customHeight="1" x14ac:dyDescent="0.25">
      <c r="A565" s="69"/>
      <c r="B565" s="43" t="s">
        <v>26</v>
      </c>
      <c r="C565" s="63"/>
      <c r="D565" s="83"/>
      <c r="E565" s="44" t="str">
        <f>IF(AND(C565="",D565=""),"",D565-C565)</f>
        <v/>
      </c>
      <c r="F565" s="13"/>
      <c r="G565" s="13"/>
      <c r="H565" s="13"/>
      <c r="I565" s="13"/>
      <c r="J565" s="13"/>
      <c r="K565" s="13"/>
    </row>
    <row r="566" spans="1:11" ht="20.100000000000001" customHeight="1" x14ac:dyDescent="0.25">
      <c r="A566" s="69"/>
      <c r="B566" s="45" t="s">
        <v>27</v>
      </c>
      <c r="C566" s="63"/>
      <c r="D566" s="83"/>
      <c r="E566" s="46" t="str">
        <f>IF(AND(C566="",D566=""),"",D566-C566)</f>
        <v/>
      </c>
      <c r="F566" s="13"/>
      <c r="G566" s="13"/>
      <c r="H566" s="13"/>
      <c r="I566" s="13"/>
      <c r="J566" s="13"/>
      <c r="K566" s="13"/>
    </row>
    <row r="567" spans="1:11" ht="20.100000000000001" customHeight="1" x14ac:dyDescent="0.25">
      <c r="A567" s="69"/>
      <c r="B567" s="43" t="s">
        <v>28</v>
      </c>
      <c r="C567" s="63"/>
      <c r="D567" s="83"/>
      <c r="E567" s="44" t="str">
        <f>IF(AND(C567="",D567=""),"",D567-C567)</f>
        <v/>
      </c>
      <c r="F567" s="13"/>
      <c r="G567" s="13"/>
      <c r="H567" s="13"/>
      <c r="I567" s="13"/>
      <c r="J567" s="13"/>
      <c r="K567" s="13"/>
    </row>
    <row r="568" spans="1:11" ht="20.100000000000001" customHeight="1" x14ac:dyDescent="0.25">
      <c r="A568" s="69"/>
      <c r="B568" s="45" t="s">
        <v>29</v>
      </c>
      <c r="C568" s="63"/>
      <c r="D568" s="83"/>
      <c r="E568" s="46" t="str">
        <f>IF(AND(C568="",D568=""),"",D568-C568)</f>
        <v/>
      </c>
      <c r="F568" s="13"/>
      <c r="G568" s="13"/>
      <c r="H568" s="13"/>
      <c r="I568" s="13"/>
      <c r="J568" s="13"/>
      <c r="K568" s="13"/>
    </row>
    <row r="569" spans="1:11" ht="20.100000000000001" customHeight="1" x14ac:dyDescent="0.25">
      <c r="A569" s="69"/>
      <c r="B569" s="43" t="s">
        <v>30</v>
      </c>
      <c r="C569" s="63"/>
      <c r="D569" s="83"/>
      <c r="E569" s="44" t="str">
        <f>IF(AND(C569="",D569=""),"",D569-C569)</f>
        <v/>
      </c>
      <c r="F569" s="13"/>
      <c r="G569" s="13"/>
      <c r="H569" s="13"/>
      <c r="I569" s="13"/>
      <c r="J569" s="13"/>
      <c r="K569" s="13"/>
    </row>
    <row r="570" spans="1:11" ht="24" customHeight="1" x14ac:dyDescent="0.25">
      <c r="A570" s="69"/>
      <c r="B570" s="47" t="s">
        <v>31</v>
      </c>
      <c r="C570" s="48">
        <f>SUM(C565:C569)</f>
        <v>0</v>
      </c>
      <c r="D570" s="73">
        <f>SUM(D565:D569)</f>
        <v>0</v>
      </c>
      <c r="E570" s="48">
        <f>D570-C570</f>
        <v>0</v>
      </c>
      <c r="F570" s="13"/>
      <c r="G570" s="13"/>
      <c r="H570" s="13"/>
      <c r="I570" s="13"/>
      <c r="J570" s="13"/>
      <c r="K570" s="13"/>
    </row>
    <row r="571" spans="1:11" ht="6" customHeight="1" x14ac:dyDescent="0.25">
      <c r="A571" s="69"/>
      <c r="B571" s="68"/>
      <c r="C571" s="68"/>
      <c r="D571" s="68"/>
      <c r="E571" s="76"/>
      <c r="F571" s="13"/>
      <c r="G571" s="13"/>
      <c r="H571" s="13"/>
      <c r="I571" s="13"/>
      <c r="J571" s="13"/>
      <c r="K571" s="13"/>
    </row>
    <row r="572" spans="1:11" ht="24" customHeight="1" x14ac:dyDescent="0.25">
      <c r="A572" s="69"/>
      <c r="B572" s="49" t="s">
        <v>32</v>
      </c>
      <c r="C572" s="50"/>
      <c r="D572" s="74"/>
      <c r="E572" s="50"/>
      <c r="F572" s="13"/>
      <c r="G572" s="13"/>
      <c r="H572" s="13"/>
      <c r="I572" s="13"/>
      <c r="J572" s="13"/>
      <c r="K572" s="13"/>
    </row>
    <row r="573" spans="1:11" ht="21.95" customHeight="1" x14ac:dyDescent="0.25">
      <c r="A573" s="69"/>
      <c r="B573" s="42" t="s">
        <v>20</v>
      </c>
      <c r="C573" s="42" t="s">
        <v>23</v>
      </c>
      <c r="D573" s="72" t="s">
        <v>24</v>
      </c>
      <c r="E573" s="42" t="s">
        <v>25</v>
      </c>
      <c r="F573" s="13"/>
      <c r="G573" s="13"/>
      <c r="H573" s="13"/>
      <c r="I573" s="13"/>
      <c r="J573" s="13"/>
      <c r="K573" s="13"/>
    </row>
    <row r="574" spans="1:11" ht="20.100000000000001" customHeight="1" x14ac:dyDescent="0.25">
      <c r="A574" s="69"/>
      <c r="B574" s="51" t="s">
        <v>33</v>
      </c>
      <c r="C574" s="52"/>
      <c r="D574" s="75"/>
      <c r="E574" s="52"/>
      <c r="F574" s="13"/>
      <c r="G574" s="13"/>
      <c r="H574" s="13"/>
      <c r="I574" s="13"/>
      <c r="J574" s="13"/>
      <c r="K574" s="13"/>
    </row>
    <row r="575" spans="1:11" ht="20.100000000000001" customHeight="1" x14ac:dyDescent="0.25">
      <c r="A575" s="69"/>
      <c r="B575" s="43" t="s">
        <v>34</v>
      </c>
      <c r="C575" s="63"/>
      <c r="D575" s="83"/>
      <c r="E575" s="44" t="str">
        <f>IF(AND(C575="",D575=""),"",C575-D575)</f>
        <v/>
      </c>
      <c r="F575" s="13"/>
      <c r="G575" s="13"/>
      <c r="H575" s="13"/>
      <c r="I575" s="13"/>
      <c r="J575" s="13"/>
      <c r="K575" s="13"/>
    </row>
    <row r="576" spans="1:11" ht="20.100000000000001" customHeight="1" x14ac:dyDescent="0.25">
      <c r="A576" s="69"/>
      <c r="B576" s="45" t="s">
        <v>35</v>
      </c>
      <c r="C576" s="63"/>
      <c r="D576" s="83"/>
      <c r="E576" s="46" t="str">
        <f>IF(AND(C576="",D576=""),"",C576-D576)</f>
        <v/>
      </c>
      <c r="F576" s="13"/>
      <c r="G576" s="13"/>
      <c r="H576" s="13"/>
      <c r="I576" s="13"/>
      <c r="J576" s="13"/>
      <c r="K576" s="13"/>
    </row>
    <row r="577" spans="1:11" ht="20.100000000000001" customHeight="1" x14ac:dyDescent="0.25">
      <c r="A577" s="69"/>
      <c r="B577" s="43" t="s">
        <v>36</v>
      </c>
      <c r="C577" s="63"/>
      <c r="D577" s="83"/>
      <c r="E577" s="44" t="str">
        <f>IF(AND(C577="",D577=""),"",C577-D577)</f>
        <v/>
      </c>
      <c r="F577" s="13"/>
      <c r="G577" s="13"/>
      <c r="H577" s="13"/>
      <c r="I577" s="13"/>
      <c r="J577" s="13"/>
      <c r="K577" s="13"/>
    </row>
    <row r="578" spans="1:11" ht="20.100000000000001" customHeight="1" x14ac:dyDescent="0.25">
      <c r="A578" s="69"/>
      <c r="B578" s="45" t="s">
        <v>37</v>
      </c>
      <c r="C578" s="63"/>
      <c r="D578" s="83"/>
      <c r="E578" s="46" t="str">
        <f>IF(AND(C578="",D578=""),"",C578-D578)</f>
        <v/>
      </c>
      <c r="F578" s="13"/>
      <c r="G578" s="13"/>
      <c r="H578" s="13"/>
      <c r="I578" s="13"/>
      <c r="J578" s="13"/>
      <c r="K578" s="13"/>
    </row>
    <row r="579" spans="1:11" ht="20.100000000000001" customHeight="1" x14ac:dyDescent="0.25">
      <c r="A579" s="69"/>
      <c r="B579" s="43" t="s">
        <v>38</v>
      </c>
      <c r="C579" s="63"/>
      <c r="D579" s="83"/>
      <c r="E579" s="44" t="str">
        <f>IF(AND(C579="",D579=""),"",C579-D579)</f>
        <v/>
      </c>
      <c r="F579" s="13"/>
      <c r="G579" s="13"/>
      <c r="H579" s="13"/>
      <c r="I579" s="13"/>
      <c r="J579" s="13"/>
      <c r="K579" s="13"/>
    </row>
    <row r="580" spans="1:11" ht="20.100000000000001" customHeight="1" x14ac:dyDescent="0.25">
      <c r="A580" s="69"/>
      <c r="B580" s="51" t="s">
        <v>39</v>
      </c>
      <c r="C580" s="52"/>
      <c r="D580" s="75"/>
      <c r="E580" s="52"/>
      <c r="F580" s="13"/>
      <c r="G580" s="13"/>
      <c r="H580" s="13"/>
      <c r="I580" s="13"/>
      <c r="J580" s="13"/>
      <c r="K580" s="13"/>
    </row>
    <row r="581" spans="1:11" ht="20.100000000000001" customHeight="1" x14ac:dyDescent="0.25">
      <c r="A581" s="69"/>
      <c r="B581" s="43" t="s">
        <v>40</v>
      </c>
      <c r="C581" s="63"/>
      <c r="D581" s="83"/>
      <c r="E581" s="44" t="str">
        <f>IF(AND(C581="",D581=""),"",C581-D581)</f>
        <v/>
      </c>
      <c r="F581" s="13"/>
      <c r="G581" s="13"/>
      <c r="H581" s="13"/>
      <c r="I581" s="13"/>
      <c r="J581" s="13"/>
      <c r="K581" s="13"/>
    </row>
    <row r="582" spans="1:11" ht="20.100000000000001" customHeight="1" x14ac:dyDescent="0.25">
      <c r="A582" s="69"/>
      <c r="B582" s="45" t="s">
        <v>41</v>
      </c>
      <c r="C582" s="63"/>
      <c r="D582" s="83"/>
      <c r="E582" s="46" t="str">
        <f>IF(AND(C582="",D582=""),"",C582-D582)</f>
        <v/>
      </c>
      <c r="F582" s="13"/>
      <c r="G582" s="13"/>
      <c r="H582" s="13"/>
      <c r="I582" s="13"/>
      <c r="J582" s="13"/>
      <c r="K582" s="13"/>
    </row>
    <row r="583" spans="1:11" ht="20.100000000000001" customHeight="1" x14ac:dyDescent="0.25">
      <c r="A583" s="69"/>
      <c r="B583" s="43" t="s">
        <v>42</v>
      </c>
      <c r="C583" s="63"/>
      <c r="D583" s="83"/>
      <c r="E583" s="44" t="str">
        <f>IF(AND(C583="",D583=""),"",C583-D583)</f>
        <v/>
      </c>
      <c r="F583" s="13"/>
      <c r="G583" s="13"/>
      <c r="H583" s="13"/>
      <c r="I583" s="13"/>
      <c r="J583" s="13"/>
      <c r="K583" s="13"/>
    </row>
    <row r="584" spans="1:11" ht="20.100000000000001" customHeight="1" x14ac:dyDescent="0.25">
      <c r="A584" s="69"/>
      <c r="B584" s="45" t="s">
        <v>43</v>
      </c>
      <c r="C584" s="63"/>
      <c r="D584" s="83"/>
      <c r="E584" s="46" t="str">
        <f>IF(AND(C584="",D584=""),"",C584-D584)</f>
        <v/>
      </c>
      <c r="F584" s="13"/>
      <c r="G584" s="13"/>
      <c r="H584" s="13"/>
      <c r="I584" s="13"/>
      <c r="J584" s="13"/>
      <c r="K584" s="13"/>
    </row>
    <row r="585" spans="1:11" ht="20.100000000000001" customHeight="1" x14ac:dyDescent="0.25">
      <c r="A585" s="69"/>
      <c r="B585" s="43" t="s">
        <v>44</v>
      </c>
      <c r="C585" s="63"/>
      <c r="D585" s="83"/>
      <c r="E585" s="44" t="str">
        <f>IF(AND(C585="",D585=""),"",C585-D585)</f>
        <v/>
      </c>
      <c r="F585" s="13"/>
      <c r="G585" s="13"/>
      <c r="H585" s="13"/>
      <c r="I585" s="13"/>
      <c r="J585" s="13"/>
      <c r="K585" s="13"/>
    </row>
    <row r="586" spans="1:11" ht="20.100000000000001" customHeight="1" x14ac:dyDescent="0.25">
      <c r="A586" s="69"/>
      <c r="B586" s="51" t="s">
        <v>45</v>
      </c>
      <c r="C586" s="52"/>
      <c r="D586" s="75"/>
      <c r="E586" s="52"/>
      <c r="F586" s="13"/>
      <c r="G586" s="13"/>
      <c r="H586" s="13"/>
      <c r="I586" s="13"/>
      <c r="J586" s="13"/>
      <c r="K586" s="13"/>
    </row>
    <row r="587" spans="1:11" ht="20.100000000000001" customHeight="1" x14ac:dyDescent="0.25">
      <c r="A587" s="69"/>
      <c r="B587" s="43" t="s">
        <v>46</v>
      </c>
      <c r="C587" s="63"/>
      <c r="D587" s="83"/>
      <c r="E587" s="44" t="str">
        <f>IF(AND(C587="",D587=""),"",C587-D587)</f>
        <v/>
      </c>
      <c r="F587" s="13"/>
      <c r="G587" s="13"/>
      <c r="H587" s="13"/>
      <c r="I587" s="13"/>
      <c r="J587" s="13"/>
      <c r="K587" s="13"/>
    </row>
    <row r="588" spans="1:11" ht="20.100000000000001" customHeight="1" x14ac:dyDescent="0.25">
      <c r="A588" s="69"/>
      <c r="B588" s="45" t="s">
        <v>47</v>
      </c>
      <c r="C588" s="63"/>
      <c r="D588" s="83"/>
      <c r="E588" s="46" t="str">
        <f>IF(AND(C588="",D588=""),"",C588-D588)</f>
        <v/>
      </c>
      <c r="F588" s="13"/>
      <c r="G588" s="13"/>
      <c r="H588" s="13"/>
      <c r="I588" s="13"/>
      <c r="J588" s="13"/>
      <c r="K588" s="13"/>
    </row>
    <row r="589" spans="1:11" ht="20.100000000000001" customHeight="1" x14ac:dyDescent="0.25">
      <c r="A589" s="69"/>
      <c r="B589" s="43" t="s">
        <v>48</v>
      </c>
      <c r="C589" s="63"/>
      <c r="D589" s="83"/>
      <c r="E589" s="44" t="str">
        <f>IF(AND(C589="",D589=""),"",C589-D589)</f>
        <v/>
      </c>
      <c r="F589" s="13"/>
      <c r="G589" s="13"/>
      <c r="H589" s="13"/>
      <c r="I589" s="13"/>
      <c r="J589" s="13"/>
      <c r="K589" s="13"/>
    </row>
    <row r="590" spans="1:11" ht="20.100000000000001" customHeight="1" x14ac:dyDescent="0.25">
      <c r="A590" s="69"/>
      <c r="B590" s="51" t="s">
        <v>49</v>
      </c>
      <c r="C590" s="52"/>
      <c r="D590" s="75"/>
      <c r="E590" s="52"/>
      <c r="F590" s="13"/>
      <c r="G590" s="13"/>
      <c r="H590" s="13"/>
      <c r="I590" s="13"/>
      <c r="J590" s="13"/>
      <c r="K590" s="13"/>
    </row>
    <row r="591" spans="1:11" ht="20.100000000000001" customHeight="1" x14ac:dyDescent="0.25">
      <c r="A591" s="69"/>
      <c r="B591" s="43" t="s">
        <v>50</v>
      </c>
      <c r="C591" s="63"/>
      <c r="D591" s="83"/>
      <c r="E591" s="44" t="str">
        <f>IF(AND(C591="",D591=""),"",C591-D591)</f>
        <v/>
      </c>
      <c r="F591" s="13"/>
      <c r="G591" s="13"/>
      <c r="H591" s="13"/>
      <c r="I591" s="13"/>
      <c r="J591" s="13"/>
      <c r="K591" s="13"/>
    </row>
    <row r="592" spans="1:11" ht="20.100000000000001" customHeight="1" x14ac:dyDescent="0.25">
      <c r="A592" s="69"/>
      <c r="B592" s="45" t="s">
        <v>51</v>
      </c>
      <c r="C592" s="63"/>
      <c r="D592" s="83"/>
      <c r="E592" s="46" t="str">
        <f>IF(AND(C592="",D592=""),"",C592-D592)</f>
        <v/>
      </c>
      <c r="F592" s="13"/>
      <c r="G592" s="13"/>
      <c r="H592" s="13"/>
      <c r="I592" s="13"/>
      <c r="J592" s="13"/>
      <c r="K592" s="13"/>
    </row>
    <row r="593" spans="1:11" ht="20.100000000000001" customHeight="1" x14ac:dyDescent="0.25">
      <c r="A593" s="69"/>
      <c r="B593" s="43" t="s">
        <v>52</v>
      </c>
      <c r="C593" s="63"/>
      <c r="D593" s="83"/>
      <c r="E593" s="44" t="str">
        <f>IF(AND(C593="",D593=""),"",C593-D593)</f>
        <v/>
      </c>
      <c r="F593" s="13"/>
      <c r="G593" s="13"/>
      <c r="H593" s="13"/>
      <c r="I593" s="13"/>
      <c r="J593" s="13"/>
      <c r="K593" s="13"/>
    </row>
    <row r="594" spans="1:11" ht="20.100000000000001" customHeight="1" x14ac:dyDescent="0.25">
      <c r="A594" s="69"/>
      <c r="B594" s="45" t="s">
        <v>53</v>
      </c>
      <c r="C594" s="63"/>
      <c r="D594" s="83"/>
      <c r="E594" s="46" t="str">
        <f>IF(AND(C594="",D594=""),"",C594-D594)</f>
        <v/>
      </c>
      <c r="F594" s="13"/>
      <c r="G594" s="13"/>
      <c r="H594" s="13"/>
      <c r="I594" s="13"/>
      <c r="J594" s="13"/>
      <c r="K594" s="13"/>
    </row>
    <row r="595" spans="1:11" ht="20.100000000000001" customHeight="1" x14ac:dyDescent="0.25">
      <c r="A595" s="69"/>
      <c r="B595" s="43" t="s">
        <v>54</v>
      </c>
      <c r="C595" s="63"/>
      <c r="D595" s="83"/>
      <c r="E595" s="44" t="str">
        <f>IF(AND(C595="",D595=""),"",C595-D595)</f>
        <v/>
      </c>
      <c r="F595" s="13"/>
      <c r="G595" s="13"/>
      <c r="H595" s="13"/>
      <c r="I595" s="13"/>
      <c r="J595" s="13"/>
      <c r="K595" s="13"/>
    </row>
    <row r="596" spans="1:11" ht="20.100000000000001" customHeight="1" x14ac:dyDescent="0.25">
      <c r="A596" s="69"/>
      <c r="B596" s="51" t="s">
        <v>55</v>
      </c>
      <c r="C596" s="52"/>
      <c r="D596" s="75"/>
      <c r="E596" s="52"/>
      <c r="F596" s="13"/>
      <c r="G596" s="13"/>
      <c r="H596" s="13"/>
      <c r="I596" s="13"/>
      <c r="J596" s="13"/>
      <c r="K596" s="13"/>
    </row>
    <row r="597" spans="1:11" ht="20.100000000000001" customHeight="1" x14ac:dyDescent="0.25">
      <c r="A597" s="69"/>
      <c r="B597" s="43" t="s">
        <v>56</v>
      </c>
      <c r="C597" s="63"/>
      <c r="D597" s="83"/>
      <c r="E597" s="44" t="str">
        <f>IF(AND(C597="",D597=""),"",C597-D597)</f>
        <v/>
      </c>
      <c r="F597" s="13"/>
      <c r="G597" s="13"/>
      <c r="H597" s="13"/>
      <c r="I597" s="13"/>
      <c r="J597" s="13"/>
      <c r="K597" s="13"/>
    </row>
    <row r="598" spans="1:11" ht="20.100000000000001" customHeight="1" x14ac:dyDescent="0.25">
      <c r="A598" s="69"/>
      <c r="B598" s="45" t="s">
        <v>57</v>
      </c>
      <c r="C598" s="63"/>
      <c r="D598" s="83"/>
      <c r="E598" s="46" t="str">
        <f>IF(AND(C598="",D598=""),"",C598-D598)</f>
        <v/>
      </c>
      <c r="F598" s="13"/>
      <c r="G598" s="13"/>
      <c r="H598" s="13"/>
      <c r="I598" s="13"/>
      <c r="J598" s="13"/>
      <c r="K598" s="13"/>
    </row>
    <row r="599" spans="1:11" ht="20.100000000000001" customHeight="1" x14ac:dyDescent="0.25">
      <c r="A599" s="69"/>
      <c r="B599" s="43" t="s">
        <v>58</v>
      </c>
      <c r="C599" s="63"/>
      <c r="D599" s="83"/>
      <c r="E599" s="44" t="str">
        <f>IF(AND(C599="",D599=""),"",C599-D599)</f>
        <v/>
      </c>
      <c r="F599" s="13"/>
      <c r="G599" s="13"/>
      <c r="H599" s="13"/>
      <c r="I599" s="13"/>
      <c r="J599" s="13"/>
      <c r="K599" s="13"/>
    </row>
    <row r="600" spans="1:11" ht="20.100000000000001" customHeight="1" x14ac:dyDescent="0.25">
      <c r="A600" s="69"/>
      <c r="B600" s="45" t="s">
        <v>59</v>
      </c>
      <c r="C600" s="63"/>
      <c r="D600" s="83"/>
      <c r="E600" s="46" t="str">
        <f>IF(AND(C600="",D600=""),"",C600-D600)</f>
        <v/>
      </c>
      <c r="F600" s="13"/>
      <c r="G600" s="13"/>
      <c r="H600" s="13"/>
      <c r="I600" s="13"/>
      <c r="J600" s="13"/>
      <c r="K600" s="13"/>
    </row>
    <row r="601" spans="1:11" ht="20.100000000000001" customHeight="1" x14ac:dyDescent="0.25">
      <c r="A601" s="69"/>
      <c r="B601" s="51" t="s">
        <v>60</v>
      </c>
      <c r="C601" s="52"/>
      <c r="D601" s="75"/>
      <c r="E601" s="52"/>
      <c r="F601" s="13"/>
      <c r="G601" s="13"/>
      <c r="H601" s="13"/>
      <c r="I601" s="13"/>
      <c r="J601" s="13"/>
      <c r="K601" s="13"/>
    </row>
    <row r="602" spans="1:11" ht="20.100000000000001" customHeight="1" x14ac:dyDescent="0.25">
      <c r="A602" s="69"/>
      <c r="B602" s="43" t="s">
        <v>61</v>
      </c>
      <c r="C602" s="63"/>
      <c r="D602" s="83"/>
      <c r="E602" s="44" t="str">
        <f>IF(AND(C602="",D602=""),"",C602-D602)</f>
        <v/>
      </c>
      <c r="F602" s="13"/>
      <c r="G602" s="13"/>
      <c r="H602" s="13"/>
      <c r="I602" s="13"/>
      <c r="J602" s="13"/>
      <c r="K602" s="13"/>
    </row>
    <row r="603" spans="1:11" ht="20.100000000000001" customHeight="1" x14ac:dyDescent="0.25">
      <c r="A603" s="69"/>
      <c r="B603" s="45" t="s">
        <v>62</v>
      </c>
      <c r="C603" s="63"/>
      <c r="D603" s="83"/>
      <c r="E603" s="46" t="str">
        <f>IF(AND(C603="",D603=""),"",C603-D603)</f>
        <v/>
      </c>
      <c r="F603" s="13"/>
      <c r="G603" s="13"/>
      <c r="H603" s="13"/>
      <c r="I603" s="13"/>
      <c r="J603" s="13"/>
      <c r="K603" s="13"/>
    </row>
    <row r="604" spans="1:11" ht="20.100000000000001" customHeight="1" x14ac:dyDescent="0.25">
      <c r="A604" s="69"/>
      <c r="B604" s="43" t="s">
        <v>63</v>
      </c>
      <c r="C604" s="63"/>
      <c r="D604" s="83"/>
      <c r="E604" s="44" t="str">
        <f>IF(AND(C604="",D604=""),"",C604-D604)</f>
        <v/>
      </c>
      <c r="F604" s="13"/>
      <c r="G604" s="13"/>
      <c r="H604" s="13"/>
      <c r="I604" s="13"/>
      <c r="J604" s="13"/>
      <c r="K604" s="13"/>
    </row>
    <row r="605" spans="1:11" ht="20.100000000000001" customHeight="1" x14ac:dyDescent="0.25">
      <c r="A605" s="69"/>
      <c r="B605" s="51" t="s">
        <v>64</v>
      </c>
      <c r="C605" s="52"/>
      <c r="D605" s="75"/>
      <c r="E605" s="52"/>
      <c r="F605" s="13"/>
      <c r="G605" s="13"/>
      <c r="H605" s="13"/>
      <c r="I605" s="13"/>
      <c r="J605" s="13"/>
      <c r="K605" s="13"/>
    </row>
    <row r="606" spans="1:11" ht="20.100000000000001" customHeight="1" x14ac:dyDescent="0.25">
      <c r="A606" s="69"/>
      <c r="B606" s="43" t="s">
        <v>65</v>
      </c>
      <c r="C606" s="63"/>
      <c r="D606" s="83"/>
      <c r="E606" s="44" t="str">
        <f>IF(AND(C606="",D606=""),"",C606-D606)</f>
        <v/>
      </c>
      <c r="F606" s="13"/>
      <c r="G606" s="13"/>
      <c r="H606" s="13"/>
      <c r="I606" s="13"/>
      <c r="J606" s="13"/>
      <c r="K606" s="13"/>
    </row>
    <row r="607" spans="1:11" ht="20.100000000000001" customHeight="1" x14ac:dyDescent="0.25">
      <c r="A607" s="69"/>
      <c r="B607" s="45" t="s">
        <v>66</v>
      </c>
      <c r="C607" s="63"/>
      <c r="D607" s="83"/>
      <c r="E607" s="46" t="str">
        <f>IF(AND(C607="",D607=""),"",C607-D607)</f>
        <v/>
      </c>
      <c r="F607" s="13"/>
      <c r="G607" s="13"/>
      <c r="H607" s="13"/>
      <c r="I607" s="13"/>
      <c r="J607" s="13"/>
      <c r="K607" s="13"/>
    </row>
    <row r="608" spans="1:11" ht="20.100000000000001" customHeight="1" x14ac:dyDescent="0.25">
      <c r="A608" s="69"/>
      <c r="B608" s="43" t="s">
        <v>67</v>
      </c>
      <c r="C608" s="63"/>
      <c r="D608" s="83"/>
      <c r="E608" s="44" t="str">
        <f>IF(AND(C608="",D608=""),"",C608-D608)</f>
        <v/>
      </c>
      <c r="F608" s="13"/>
      <c r="G608" s="13"/>
      <c r="H608" s="13"/>
      <c r="I608" s="13"/>
      <c r="J608" s="13"/>
      <c r="K608" s="13"/>
    </row>
    <row r="609" spans="1:11" ht="20.100000000000001" customHeight="1" x14ac:dyDescent="0.25">
      <c r="A609" s="69"/>
      <c r="B609" s="51" t="s">
        <v>68</v>
      </c>
      <c r="C609" s="52"/>
      <c r="D609" s="75"/>
      <c r="E609" s="52"/>
      <c r="F609" s="13"/>
      <c r="G609" s="13"/>
      <c r="H609" s="13"/>
      <c r="I609" s="13"/>
      <c r="J609" s="13"/>
      <c r="K609" s="13"/>
    </row>
    <row r="610" spans="1:11" ht="20.100000000000001" customHeight="1" x14ac:dyDescent="0.25">
      <c r="A610" s="69"/>
      <c r="B610" s="43" t="s">
        <v>69</v>
      </c>
      <c r="C610" s="63"/>
      <c r="D610" s="83"/>
      <c r="E610" s="44" t="str">
        <f>IF(AND(C610="",D610=""),"",C610-D610)</f>
        <v/>
      </c>
      <c r="F610" s="13"/>
      <c r="G610" s="13"/>
      <c r="H610" s="13"/>
      <c r="I610" s="13"/>
      <c r="J610" s="13"/>
      <c r="K610" s="13"/>
    </row>
    <row r="611" spans="1:11" ht="20.100000000000001" customHeight="1" x14ac:dyDescent="0.25">
      <c r="A611" s="69"/>
      <c r="B611" s="45" t="s">
        <v>70</v>
      </c>
      <c r="C611" s="63"/>
      <c r="D611" s="83"/>
      <c r="E611" s="46" t="str">
        <f>IF(AND(C611="",D611=""),"",C611-D611)</f>
        <v/>
      </c>
      <c r="F611" s="13"/>
      <c r="G611" s="13"/>
      <c r="H611" s="13"/>
      <c r="I611" s="13"/>
      <c r="J611" s="13"/>
      <c r="K611" s="13"/>
    </row>
    <row r="612" spans="1:11" ht="20.100000000000001" customHeight="1" x14ac:dyDescent="0.25">
      <c r="A612" s="69"/>
      <c r="B612" s="43" t="s">
        <v>71</v>
      </c>
      <c r="C612" s="63"/>
      <c r="D612" s="83"/>
      <c r="E612" s="44" t="str">
        <f>IF(AND(C612="",D612=""),"",C612-D612)</f>
        <v/>
      </c>
      <c r="F612" s="13"/>
      <c r="G612" s="13"/>
      <c r="H612" s="13"/>
      <c r="I612" s="13"/>
      <c r="J612" s="13"/>
      <c r="K612" s="13"/>
    </row>
    <row r="613" spans="1:11" ht="20.100000000000001" customHeight="1" x14ac:dyDescent="0.25">
      <c r="A613" s="69"/>
      <c r="B613" s="51" t="s">
        <v>72</v>
      </c>
      <c r="C613" s="52"/>
      <c r="D613" s="75"/>
      <c r="E613" s="52"/>
      <c r="F613" s="13"/>
      <c r="G613" s="13"/>
      <c r="H613" s="13"/>
      <c r="I613" s="13"/>
      <c r="J613" s="13"/>
      <c r="K613" s="13"/>
    </row>
    <row r="614" spans="1:11" ht="20.100000000000001" customHeight="1" x14ac:dyDescent="0.25">
      <c r="A614" s="69"/>
      <c r="B614" s="43" t="s">
        <v>73</v>
      </c>
      <c r="C614" s="63"/>
      <c r="D614" s="83"/>
      <c r="E614" s="44" t="str">
        <f>IF(AND(C614="",D614=""),"",C614-D614)</f>
        <v/>
      </c>
      <c r="F614" s="13"/>
      <c r="G614" s="13"/>
      <c r="H614" s="13"/>
      <c r="I614" s="13"/>
      <c r="J614" s="13"/>
      <c r="K614" s="13"/>
    </row>
    <row r="615" spans="1:11" ht="20.100000000000001" customHeight="1" x14ac:dyDescent="0.25">
      <c r="A615" s="69"/>
      <c r="B615" s="45" t="s">
        <v>74</v>
      </c>
      <c r="C615" s="63"/>
      <c r="D615" s="83"/>
      <c r="E615" s="46" t="str">
        <f>IF(AND(C615="",D615=""),"",C615-D615)</f>
        <v/>
      </c>
      <c r="F615" s="13"/>
      <c r="G615" s="13"/>
      <c r="H615" s="13"/>
      <c r="I615" s="13"/>
      <c r="J615" s="13"/>
      <c r="K615" s="13"/>
    </row>
    <row r="616" spans="1:11" ht="20.100000000000001" customHeight="1" x14ac:dyDescent="0.25">
      <c r="A616" s="69"/>
      <c r="B616" s="43" t="s">
        <v>75</v>
      </c>
      <c r="C616" s="63"/>
      <c r="D616" s="83"/>
      <c r="E616" s="44" t="str">
        <f>IF(AND(C616="",D616=""),"",C616-D616)</f>
        <v/>
      </c>
      <c r="F616" s="13"/>
      <c r="G616" s="13"/>
      <c r="H616" s="13"/>
      <c r="I616" s="13"/>
      <c r="J616" s="13"/>
      <c r="K616" s="13"/>
    </row>
    <row r="617" spans="1:11" ht="20.100000000000001" customHeight="1" x14ac:dyDescent="0.25">
      <c r="A617" s="69"/>
      <c r="B617" s="51" t="s">
        <v>76</v>
      </c>
      <c r="C617" s="52"/>
      <c r="D617" s="75"/>
      <c r="E617" s="52"/>
      <c r="F617" s="13"/>
      <c r="G617" s="13"/>
      <c r="H617" s="13"/>
      <c r="I617" s="13"/>
      <c r="J617" s="13"/>
      <c r="K617" s="13"/>
    </row>
    <row r="618" spans="1:11" ht="20.100000000000001" customHeight="1" x14ac:dyDescent="0.25">
      <c r="A618" s="69"/>
      <c r="B618" s="43" t="s">
        <v>77</v>
      </c>
      <c r="C618" s="63"/>
      <c r="D618" s="83"/>
      <c r="E618" s="44" t="str">
        <f>IF(AND(C618="",D618=""),"",C618-D618)</f>
        <v/>
      </c>
      <c r="F618" s="13"/>
      <c r="G618" s="13"/>
      <c r="H618" s="13"/>
      <c r="I618" s="13"/>
      <c r="J618" s="13"/>
      <c r="K618" s="13"/>
    </row>
    <row r="619" spans="1:11" ht="20.100000000000001" customHeight="1" x14ac:dyDescent="0.25">
      <c r="A619" s="69"/>
      <c r="B619" s="45" t="s">
        <v>78</v>
      </c>
      <c r="C619" s="63"/>
      <c r="D619" s="83"/>
      <c r="E619" s="46" t="str">
        <f>IF(AND(C619="",D619=""),"",C619-D619)</f>
        <v/>
      </c>
      <c r="F619" s="13"/>
      <c r="G619" s="13"/>
      <c r="H619" s="13"/>
      <c r="I619" s="13"/>
      <c r="J619" s="13"/>
      <c r="K619" s="13"/>
    </row>
    <row r="620" spans="1:11" ht="20.100000000000001" customHeight="1" x14ac:dyDescent="0.25">
      <c r="A620" s="69"/>
      <c r="B620" s="43" t="s">
        <v>79</v>
      </c>
      <c r="C620" s="63"/>
      <c r="D620" s="83"/>
      <c r="E620" s="65" t="str">
        <f>IF(AND(C620="",D620=""),"",C620-D620)</f>
        <v/>
      </c>
      <c r="F620" s="13"/>
      <c r="G620" s="13"/>
      <c r="H620" s="13"/>
      <c r="I620" s="13"/>
      <c r="J620" s="13"/>
      <c r="K620" s="13"/>
    </row>
    <row r="621" spans="1:11" ht="24" customHeight="1" x14ac:dyDescent="0.25">
      <c r="A621" s="69"/>
      <c r="B621" s="53" t="s">
        <v>80</v>
      </c>
      <c r="C621" s="54">
        <f>C575+C576+C577+C578+C579+C581+C582+C583+C584+C585+C587+C588+C589+C591+C592+C593+C594+C595+C597+C598+C599+C600+C602+C603+C604+C606+C607+C608+C610+C611+C612+C614+C615+C616+C618+C619+C620</f>
        <v>0</v>
      </c>
      <c r="D621" s="64">
        <f>D575+D576+D577+D578+D579+D581+D582+D583+D584+D585+D587+D588+D589+D591+D592+D593+D594+D595+D597+D598+D599+D600+D602+D603+D604+D606+D607+D608+D610+D611+D612+D614+D615+D616+D618+D619+D620</f>
        <v>0</v>
      </c>
      <c r="E621" s="103">
        <f>C621-D621</f>
        <v>0</v>
      </c>
      <c r="F621" s="13"/>
      <c r="G621" s="13"/>
      <c r="H621" s="13"/>
      <c r="I621" s="13"/>
      <c r="J621" s="13"/>
      <c r="K621" s="13"/>
    </row>
    <row r="622" spans="1:11" ht="6" customHeight="1" x14ac:dyDescent="0.25">
      <c r="A622" s="69"/>
      <c r="B622" s="68"/>
      <c r="C622" s="68"/>
      <c r="D622" s="68"/>
      <c r="E622" s="76"/>
      <c r="F622" s="13"/>
      <c r="G622" s="13"/>
      <c r="H622" s="13"/>
      <c r="I622" s="13"/>
      <c r="J622" s="13"/>
      <c r="K622" s="13"/>
    </row>
    <row r="623" spans="1:11" ht="24" customHeight="1" x14ac:dyDescent="0.25">
      <c r="A623" s="69"/>
      <c r="B623" s="55" t="s">
        <v>100</v>
      </c>
      <c r="C623" s="39"/>
      <c r="D623" s="70"/>
      <c r="E623" s="39"/>
      <c r="F623" s="13"/>
      <c r="G623" s="13"/>
      <c r="H623" s="13"/>
      <c r="I623" s="13"/>
      <c r="J623" s="13"/>
      <c r="K623" s="13"/>
    </row>
    <row r="624" spans="1:11" ht="21.95" customHeight="1" x14ac:dyDescent="0.25">
      <c r="A624" s="69"/>
      <c r="B624" s="56" t="s">
        <v>82</v>
      </c>
      <c r="C624" s="57">
        <f>C570</f>
        <v>0</v>
      </c>
      <c r="D624" s="84">
        <f>D570</f>
        <v>0</v>
      </c>
      <c r="E624" s="58"/>
      <c r="F624" s="13"/>
      <c r="G624" s="13"/>
      <c r="H624" s="13"/>
      <c r="I624" s="13"/>
      <c r="J624" s="13"/>
      <c r="K624" s="13"/>
    </row>
    <row r="625" spans="1:11" ht="21.95" customHeight="1" x14ac:dyDescent="0.25">
      <c r="A625" s="69"/>
      <c r="B625" s="56" t="s">
        <v>83</v>
      </c>
      <c r="C625" s="57">
        <f>C621</f>
        <v>0</v>
      </c>
      <c r="D625" s="84">
        <f>D621</f>
        <v>0</v>
      </c>
      <c r="E625" s="58"/>
      <c r="F625" s="13"/>
      <c r="G625" s="13"/>
      <c r="H625" s="13"/>
      <c r="I625" s="13"/>
      <c r="J625" s="13"/>
      <c r="K625" s="13"/>
    </row>
    <row r="626" spans="1:11" ht="21.95" customHeight="1" x14ac:dyDescent="0.25">
      <c r="A626" s="69"/>
      <c r="B626" s="59" t="s">
        <v>84</v>
      </c>
      <c r="C626" s="60">
        <f>C624-C625</f>
        <v>0</v>
      </c>
      <c r="D626" s="85">
        <f>D570-D621</f>
        <v>0</v>
      </c>
      <c r="E626" s="61"/>
      <c r="F626" s="13"/>
      <c r="G626" s="13"/>
      <c r="H626" s="13"/>
      <c r="I626" s="13"/>
      <c r="J626" s="13"/>
      <c r="K626" s="13"/>
    </row>
    <row r="627" spans="1:11" ht="21.95" customHeight="1" x14ac:dyDescent="0.25">
      <c r="A627" s="69"/>
      <c r="B627" s="78" t="s">
        <v>5</v>
      </c>
      <c r="C627" s="79" t="str">
        <f>IF(C624=0,"",1-C625/C624)</f>
        <v/>
      </c>
      <c r="D627" s="86" t="str">
        <f>IF(D570=0,"",1-D621/D570)</f>
        <v/>
      </c>
      <c r="E627" s="87"/>
      <c r="F627" s="13"/>
      <c r="G627" s="13"/>
      <c r="H627" s="13"/>
      <c r="I627" s="13"/>
      <c r="J627" s="13"/>
      <c r="K627" s="13"/>
    </row>
    <row r="628" spans="1:11" ht="6" customHeight="1" x14ac:dyDescent="0.25">
      <c r="A628" s="69"/>
      <c r="B628" s="69"/>
      <c r="C628" s="69"/>
      <c r="D628" s="69"/>
      <c r="E628" s="77"/>
      <c r="F628" s="13"/>
      <c r="G628" s="13"/>
      <c r="H628" s="13"/>
      <c r="I628" s="13"/>
      <c r="J628" s="13"/>
      <c r="K628" s="13"/>
    </row>
    <row r="629" spans="1:11" ht="6" customHeight="1" x14ac:dyDescent="0.25">
      <c r="A629" s="69"/>
      <c r="B629" s="69"/>
      <c r="C629" s="69"/>
      <c r="D629" s="69"/>
      <c r="E629" s="77"/>
      <c r="F629" s="13"/>
      <c r="G629" s="13"/>
      <c r="H629" s="13"/>
      <c r="I629" s="13"/>
      <c r="J629" s="13"/>
      <c r="K629" s="13"/>
    </row>
    <row r="630" spans="1:11" ht="6" customHeight="1" x14ac:dyDescent="0.25">
      <c r="A630" s="69"/>
      <c r="B630" s="69"/>
      <c r="C630" s="69"/>
      <c r="D630" s="69"/>
      <c r="E630" s="77"/>
      <c r="F630" s="13"/>
      <c r="G630" s="13"/>
      <c r="H630" s="13"/>
      <c r="I630" s="13"/>
      <c r="J630" s="13"/>
      <c r="K630" s="13"/>
    </row>
    <row r="631" spans="1:11" ht="32.1" customHeight="1" x14ac:dyDescent="0.25">
      <c r="A631" s="69"/>
      <c r="B631" s="80" t="s">
        <v>101</v>
      </c>
      <c r="C631" s="81"/>
      <c r="D631" s="82"/>
      <c r="E631" s="81"/>
      <c r="F631" s="13"/>
      <c r="G631" s="13"/>
      <c r="H631" s="13"/>
      <c r="I631" s="13"/>
      <c r="J631" s="13"/>
      <c r="K631" s="13"/>
    </row>
    <row r="632" spans="1:11" ht="6" customHeight="1" x14ac:dyDescent="0.25">
      <c r="A632" s="69"/>
      <c r="B632" s="37"/>
      <c r="C632" s="37"/>
      <c r="D632" s="37"/>
      <c r="E632" s="66"/>
      <c r="F632" s="13"/>
      <c r="G632" s="13"/>
      <c r="H632" s="13"/>
      <c r="I632" s="13"/>
      <c r="J632" s="13"/>
      <c r="K632" s="13"/>
    </row>
    <row r="633" spans="1:11" ht="24" customHeight="1" x14ac:dyDescent="0.25">
      <c r="A633" s="69"/>
      <c r="B633" s="40" t="s">
        <v>22</v>
      </c>
      <c r="C633" s="41"/>
      <c r="D633" s="71"/>
      <c r="E633" s="41"/>
      <c r="F633" s="13"/>
      <c r="G633" s="13"/>
      <c r="H633" s="13"/>
      <c r="I633" s="13"/>
      <c r="J633" s="13"/>
      <c r="K633" s="13"/>
    </row>
    <row r="634" spans="1:11" ht="21.95" customHeight="1" x14ac:dyDescent="0.25">
      <c r="A634" s="69"/>
      <c r="B634" s="42" t="s">
        <v>20</v>
      </c>
      <c r="C634" s="42" t="s">
        <v>23</v>
      </c>
      <c r="D634" s="72" t="s">
        <v>24</v>
      </c>
      <c r="E634" s="42" t="s">
        <v>25</v>
      </c>
      <c r="F634" s="13"/>
      <c r="G634" s="13"/>
      <c r="H634" s="13"/>
      <c r="I634" s="13"/>
      <c r="J634" s="13"/>
      <c r="K634" s="13"/>
    </row>
    <row r="635" spans="1:11" ht="20.100000000000001" customHeight="1" x14ac:dyDescent="0.25">
      <c r="A635" s="69"/>
      <c r="B635" s="43" t="s">
        <v>26</v>
      </c>
      <c r="C635" s="63"/>
      <c r="D635" s="83"/>
      <c r="E635" s="44" t="str">
        <f>IF(AND(C635="",D635=""),"",D635-C635)</f>
        <v/>
      </c>
      <c r="F635" s="13"/>
      <c r="G635" s="13"/>
      <c r="H635" s="13"/>
      <c r="I635" s="13"/>
      <c r="J635" s="13"/>
      <c r="K635" s="13"/>
    </row>
    <row r="636" spans="1:11" ht="20.100000000000001" customHeight="1" x14ac:dyDescent="0.25">
      <c r="A636" s="69"/>
      <c r="B636" s="45" t="s">
        <v>27</v>
      </c>
      <c r="C636" s="63"/>
      <c r="D636" s="83"/>
      <c r="E636" s="46" t="str">
        <f>IF(AND(C636="",D636=""),"",D636-C636)</f>
        <v/>
      </c>
      <c r="F636" s="13"/>
      <c r="G636" s="13"/>
      <c r="H636" s="13"/>
      <c r="I636" s="13"/>
      <c r="J636" s="13"/>
      <c r="K636" s="13"/>
    </row>
    <row r="637" spans="1:11" ht="20.100000000000001" customHeight="1" x14ac:dyDescent="0.25">
      <c r="A637" s="69"/>
      <c r="B637" s="43" t="s">
        <v>28</v>
      </c>
      <c r="C637" s="63"/>
      <c r="D637" s="83"/>
      <c r="E637" s="44" t="str">
        <f>IF(AND(C637="",D637=""),"",D637-C637)</f>
        <v/>
      </c>
      <c r="F637" s="13"/>
      <c r="G637" s="13"/>
      <c r="H637" s="13"/>
      <c r="I637" s="13"/>
      <c r="J637" s="13"/>
      <c r="K637" s="13"/>
    </row>
    <row r="638" spans="1:11" ht="20.100000000000001" customHeight="1" x14ac:dyDescent="0.25">
      <c r="A638" s="69"/>
      <c r="B638" s="45" t="s">
        <v>29</v>
      </c>
      <c r="C638" s="63"/>
      <c r="D638" s="83"/>
      <c r="E638" s="46" t="str">
        <f>IF(AND(C638="",D638=""),"",D638-C638)</f>
        <v/>
      </c>
      <c r="F638" s="13"/>
      <c r="G638" s="13"/>
      <c r="H638" s="13"/>
      <c r="I638" s="13"/>
      <c r="J638" s="13"/>
      <c r="K638" s="13"/>
    </row>
    <row r="639" spans="1:11" ht="20.100000000000001" customHeight="1" x14ac:dyDescent="0.25">
      <c r="A639" s="69"/>
      <c r="B639" s="43" t="s">
        <v>30</v>
      </c>
      <c r="C639" s="63"/>
      <c r="D639" s="83"/>
      <c r="E639" s="44" t="str">
        <f>IF(AND(C639="",D639=""),"",D639-C639)</f>
        <v/>
      </c>
      <c r="F639" s="13"/>
      <c r="G639" s="13"/>
      <c r="H639" s="13"/>
      <c r="I639" s="13"/>
      <c r="J639" s="13"/>
      <c r="K639" s="13"/>
    </row>
    <row r="640" spans="1:11" ht="24" customHeight="1" x14ac:dyDescent="0.25">
      <c r="A640" s="69"/>
      <c r="B640" s="47" t="s">
        <v>31</v>
      </c>
      <c r="C640" s="48">
        <f>SUM(C635:C639)</f>
        <v>0</v>
      </c>
      <c r="D640" s="73">
        <f>SUM(D635:D639)</f>
        <v>0</v>
      </c>
      <c r="E640" s="48">
        <f>D640-C640</f>
        <v>0</v>
      </c>
      <c r="F640" s="13"/>
      <c r="G640" s="13"/>
      <c r="H640" s="13"/>
      <c r="I640" s="13"/>
      <c r="J640" s="13"/>
      <c r="K640" s="13"/>
    </row>
    <row r="641" spans="1:11" ht="6" customHeight="1" x14ac:dyDescent="0.25">
      <c r="A641" s="69"/>
      <c r="B641" s="68"/>
      <c r="C641" s="68"/>
      <c r="D641" s="68"/>
      <c r="E641" s="76"/>
      <c r="F641" s="13"/>
      <c r="G641" s="13"/>
      <c r="H641" s="13"/>
      <c r="I641" s="13"/>
      <c r="J641" s="13"/>
      <c r="K641" s="13"/>
    </row>
    <row r="642" spans="1:11" ht="24" customHeight="1" x14ac:dyDescent="0.25">
      <c r="A642" s="69"/>
      <c r="B642" s="49" t="s">
        <v>32</v>
      </c>
      <c r="C642" s="50"/>
      <c r="D642" s="74"/>
      <c r="E642" s="50"/>
      <c r="F642" s="13"/>
      <c r="G642" s="13"/>
      <c r="H642" s="13"/>
      <c r="I642" s="13"/>
      <c r="J642" s="13"/>
      <c r="K642" s="13"/>
    </row>
    <row r="643" spans="1:11" ht="21.95" customHeight="1" x14ac:dyDescent="0.25">
      <c r="A643" s="69"/>
      <c r="B643" s="42" t="s">
        <v>20</v>
      </c>
      <c r="C643" s="42" t="s">
        <v>23</v>
      </c>
      <c r="D643" s="72" t="s">
        <v>24</v>
      </c>
      <c r="E643" s="42" t="s">
        <v>25</v>
      </c>
      <c r="F643" s="13"/>
      <c r="G643" s="13"/>
      <c r="H643" s="13"/>
      <c r="I643" s="13"/>
      <c r="J643" s="13"/>
      <c r="K643" s="13"/>
    </row>
    <row r="644" spans="1:11" ht="20.100000000000001" customHeight="1" x14ac:dyDescent="0.25">
      <c r="A644" s="69"/>
      <c r="B644" s="51" t="s">
        <v>33</v>
      </c>
      <c r="C644" s="52"/>
      <c r="D644" s="75"/>
      <c r="E644" s="52"/>
      <c r="F644" s="13"/>
      <c r="G644" s="13"/>
      <c r="H644" s="13"/>
      <c r="I644" s="13"/>
      <c r="J644" s="13"/>
      <c r="K644" s="13"/>
    </row>
    <row r="645" spans="1:11" ht="20.100000000000001" customHeight="1" x14ac:dyDescent="0.25">
      <c r="A645" s="69"/>
      <c r="B645" s="43" t="s">
        <v>34</v>
      </c>
      <c r="C645" s="63"/>
      <c r="D645" s="83"/>
      <c r="E645" s="44" t="str">
        <f>IF(AND(C645="",D645=""),"",C645-D645)</f>
        <v/>
      </c>
      <c r="F645" s="13"/>
      <c r="G645" s="13"/>
      <c r="H645" s="13"/>
      <c r="I645" s="13"/>
      <c r="J645" s="13"/>
      <c r="K645" s="13"/>
    </row>
    <row r="646" spans="1:11" ht="20.100000000000001" customHeight="1" x14ac:dyDescent="0.25">
      <c r="A646" s="69"/>
      <c r="B646" s="45" t="s">
        <v>35</v>
      </c>
      <c r="C646" s="63"/>
      <c r="D646" s="83"/>
      <c r="E646" s="46" t="str">
        <f>IF(AND(C646="",D646=""),"",C646-D646)</f>
        <v/>
      </c>
      <c r="F646" s="13"/>
      <c r="G646" s="13"/>
      <c r="H646" s="13"/>
      <c r="I646" s="13"/>
      <c r="J646" s="13"/>
      <c r="K646" s="13"/>
    </row>
    <row r="647" spans="1:11" ht="20.100000000000001" customHeight="1" x14ac:dyDescent="0.25">
      <c r="A647" s="69"/>
      <c r="B647" s="43" t="s">
        <v>36</v>
      </c>
      <c r="C647" s="63"/>
      <c r="D647" s="83"/>
      <c r="E647" s="44" t="str">
        <f>IF(AND(C647="",D647=""),"",C647-D647)</f>
        <v/>
      </c>
      <c r="F647" s="13"/>
      <c r="G647" s="13"/>
      <c r="H647" s="13"/>
      <c r="I647" s="13"/>
      <c r="J647" s="13"/>
      <c r="K647" s="13"/>
    </row>
    <row r="648" spans="1:11" ht="20.100000000000001" customHeight="1" x14ac:dyDescent="0.25">
      <c r="A648" s="69"/>
      <c r="B648" s="45" t="s">
        <v>37</v>
      </c>
      <c r="C648" s="63"/>
      <c r="D648" s="83"/>
      <c r="E648" s="46" t="str">
        <f>IF(AND(C648="",D648=""),"",C648-D648)</f>
        <v/>
      </c>
      <c r="F648" s="13"/>
      <c r="G648" s="13"/>
      <c r="H648" s="13"/>
      <c r="I648" s="13"/>
      <c r="J648" s="13"/>
      <c r="K648" s="13"/>
    </row>
    <row r="649" spans="1:11" ht="20.100000000000001" customHeight="1" x14ac:dyDescent="0.25">
      <c r="A649" s="69"/>
      <c r="B649" s="43" t="s">
        <v>38</v>
      </c>
      <c r="C649" s="63"/>
      <c r="D649" s="83"/>
      <c r="E649" s="44" t="str">
        <f>IF(AND(C649="",D649=""),"",C649-D649)</f>
        <v/>
      </c>
      <c r="F649" s="13"/>
      <c r="G649" s="13"/>
      <c r="H649" s="13"/>
      <c r="I649" s="13"/>
      <c r="J649" s="13"/>
      <c r="K649" s="13"/>
    </row>
    <row r="650" spans="1:11" ht="20.100000000000001" customHeight="1" x14ac:dyDescent="0.25">
      <c r="A650" s="69"/>
      <c r="B650" s="51" t="s">
        <v>39</v>
      </c>
      <c r="C650" s="52"/>
      <c r="D650" s="75"/>
      <c r="E650" s="52"/>
      <c r="F650" s="13"/>
      <c r="G650" s="13"/>
      <c r="H650" s="13"/>
      <c r="I650" s="13"/>
      <c r="J650" s="13"/>
      <c r="K650" s="13"/>
    </row>
    <row r="651" spans="1:11" ht="20.100000000000001" customHeight="1" x14ac:dyDescent="0.25">
      <c r="A651" s="69"/>
      <c r="B651" s="43" t="s">
        <v>40</v>
      </c>
      <c r="C651" s="63"/>
      <c r="D651" s="83"/>
      <c r="E651" s="44" t="str">
        <f>IF(AND(C651="",D651=""),"",C651-D651)</f>
        <v/>
      </c>
      <c r="F651" s="13"/>
      <c r="G651" s="13"/>
      <c r="H651" s="13"/>
      <c r="I651" s="13"/>
      <c r="J651" s="13"/>
      <c r="K651" s="13"/>
    </row>
    <row r="652" spans="1:11" ht="20.100000000000001" customHeight="1" x14ac:dyDescent="0.25">
      <c r="A652" s="69"/>
      <c r="B652" s="45" t="s">
        <v>41</v>
      </c>
      <c r="C652" s="63"/>
      <c r="D652" s="83"/>
      <c r="E652" s="46" t="str">
        <f>IF(AND(C652="",D652=""),"",C652-D652)</f>
        <v/>
      </c>
      <c r="F652" s="13"/>
      <c r="G652" s="13"/>
      <c r="H652" s="13"/>
      <c r="I652" s="13"/>
      <c r="J652" s="13"/>
      <c r="K652" s="13"/>
    </row>
    <row r="653" spans="1:11" ht="20.100000000000001" customHeight="1" x14ac:dyDescent="0.25">
      <c r="A653" s="69"/>
      <c r="B653" s="43" t="s">
        <v>42</v>
      </c>
      <c r="C653" s="63"/>
      <c r="D653" s="83"/>
      <c r="E653" s="44" t="str">
        <f>IF(AND(C653="",D653=""),"",C653-D653)</f>
        <v/>
      </c>
      <c r="F653" s="13"/>
      <c r="G653" s="13"/>
      <c r="H653" s="13"/>
      <c r="I653" s="13"/>
      <c r="J653" s="13"/>
      <c r="K653" s="13"/>
    </row>
    <row r="654" spans="1:11" ht="20.100000000000001" customHeight="1" x14ac:dyDescent="0.25">
      <c r="A654" s="69"/>
      <c r="B654" s="45" t="s">
        <v>43</v>
      </c>
      <c r="C654" s="63"/>
      <c r="D654" s="83"/>
      <c r="E654" s="46" t="str">
        <f>IF(AND(C654="",D654=""),"",C654-D654)</f>
        <v/>
      </c>
      <c r="F654" s="13"/>
      <c r="G654" s="13"/>
      <c r="H654" s="13"/>
      <c r="I654" s="13"/>
      <c r="J654" s="13"/>
      <c r="K654" s="13"/>
    </row>
    <row r="655" spans="1:11" ht="20.100000000000001" customHeight="1" x14ac:dyDescent="0.25">
      <c r="A655" s="69"/>
      <c r="B655" s="43" t="s">
        <v>44</v>
      </c>
      <c r="C655" s="63"/>
      <c r="D655" s="83"/>
      <c r="E655" s="44" t="str">
        <f>IF(AND(C655="",D655=""),"",C655-D655)</f>
        <v/>
      </c>
      <c r="F655" s="13"/>
      <c r="G655" s="13"/>
      <c r="H655" s="13"/>
      <c r="I655" s="13"/>
      <c r="J655" s="13"/>
      <c r="K655" s="13"/>
    </row>
    <row r="656" spans="1:11" ht="20.100000000000001" customHeight="1" x14ac:dyDescent="0.25">
      <c r="A656" s="69"/>
      <c r="B656" s="51" t="s">
        <v>45</v>
      </c>
      <c r="C656" s="52"/>
      <c r="D656" s="75"/>
      <c r="E656" s="52"/>
      <c r="F656" s="13"/>
      <c r="G656" s="13"/>
      <c r="H656" s="13"/>
      <c r="I656" s="13"/>
      <c r="J656" s="13"/>
      <c r="K656" s="13"/>
    </row>
    <row r="657" spans="1:11" ht="20.100000000000001" customHeight="1" x14ac:dyDescent="0.25">
      <c r="A657" s="69"/>
      <c r="B657" s="43" t="s">
        <v>46</v>
      </c>
      <c r="C657" s="63"/>
      <c r="D657" s="83"/>
      <c r="E657" s="44" t="str">
        <f>IF(AND(C657="",D657=""),"",C657-D657)</f>
        <v/>
      </c>
      <c r="F657" s="13"/>
      <c r="G657" s="13"/>
      <c r="H657" s="13"/>
      <c r="I657" s="13"/>
      <c r="J657" s="13"/>
      <c r="K657" s="13"/>
    </row>
    <row r="658" spans="1:11" ht="20.100000000000001" customHeight="1" x14ac:dyDescent="0.25">
      <c r="A658" s="69"/>
      <c r="B658" s="45" t="s">
        <v>47</v>
      </c>
      <c r="C658" s="63"/>
      <c r="D658" s="83"/>
      <c r="E658" s="46" t="str">
        <f>IF(AND(C658="",D658=""),"",C658-D658)</f>
        <v/>
      </c>
      <c r="F658" s="13"/>
      <c r="G658" s="13"/>
      <c r="H658" s="13"/>
      <c r="I658" s="13"/>
      <c r="J658" s="13"/>
      <c r="K658" s="13"/>
    </row>
    <row r="659" spans="1:11" ht="20.100000000000001" customHeight="1" x14ac:dyDescent="0.25">
      <c r="A659" s="69"/>
      <c r="B659" s="43" t="s">
        <v>48</v>
      </c>
      <c r="C659" s="63"/>
      <c r="D659" s="83"/>
      <c r="E659" s="44" t="str">
        <f>IF(AND(C659="",D659=""),"",C659-D659)</f>
        <v/>
      </c>
      <c r="F659" s="13"/>
      <c r="G659" s="13"/>
      <c r="H659" s="13"/>
      <c r="I659" s="13"/>
      <c r="J659" s="13"/>
      <c r="K659" s="13"/>
    </row>
    <row r="660" spans="1:11" ht="20.100000000000001" customHeight="1" x14ac:dyDescent="0.25">
      <c r="A660" s="69"/>
      <c r="B660" s="51" t="s">
        <v>49</v>
      </c>
      <c r="C660" s="52"/>
      <c r="D660" s="75"/>
      <c r="E660" s="52"/>
      <c r="F660" s="13"/>
      <c r="G660" s="13"/>
      <c r="H660" s="13"/>
      <c r="I660" s="13"/>
      <c r="J660" s="13"/>
      <c r="K660" s="13"/>
    </row>
    <row r="661" spans="1:11" ht="20.100000000000001" customHeight="1" x14ac:dyDescent="0.25">
      <c r="A661" s="69"/>
      <c r="B661" s="43" t="s">
        <v>50</v>
      </c>
      <c r="C661" s="63"/>
      <c r="D661" s="83"/>
      <c r="E661" s="44" t="str">
        <f>IF(AND(C661="",D661=""),"",C661-D661)</f>
        <v/>
      </c>
      <c r="F661" s="13"/>
      <c r="G661" s="13"/>
      <c r="H661" s="13"/>
      <c r="I661" s="13"/>
      <c r="J661" s="13"/>
      <c r="K661" s="13"/>
    </row>
    <row r="662" spans="1:11" ht="20.100000000000001" customHeight="1" x14ac:dyDescent="0.25">
      <c r="A662" s="69"/>
      <c r="B662" s="45" t="s">
        <v>51</v>
      </c>
      <c r="C662" s="63"/>
      <c r="D662" s="83"/>
      <c r="E662" s="46" t="str">
        <f>IF(AND(C662="",D662=""),"",C662-D662)</f>
        <v/>
      </c>
      <c r="F662" s="13"/>
      <c r="G662" s="13"/>
      <c r="H662" s="13"/>
      <c r="I662" s="13"/>
      <c r="J662" s="13"/>
      <c r="K662" s="13"/>
    </row>
    <row r="663" spans="1:11" ht="20.100000000000001" customHeight="1" x14ac:dyDescent="0.25">
      <c r="A663" s="69"/>
      <c r="B663" s="43" t="s">
        <v>52</v>
      </c>
      <c r="C663" s="63"/>
      <c r="D663" s="83"/>
      <c r="E663" s="44" t="str">
        <f>IF(AND(C663="",D663=""),"",C663-D663)</f>
        <v/>
      </c>
      <c r="F663" s="13"/>
      <c r="G663" s="13"/>
      <c r="H663" s="13"/>
      <c r="I663" s="13"/>
      <c r="J663" s="13"/>
      <c r="K663" s="13"/>
    </row>
    <row r="664" spans="1:11" ht="20.100000000000001" customHeight="1" x14ac:dyDescent="0.25">
      <c r="A664" s="69"/>
      <c r="B664" s="45" t="s">
        <v>53</v>
      </c>
      <c r="C664" s="63"/>
      <c r="D664" s="83"/>
      <c r="E664" s="46" t="str">
        <f>IF(AND(C664="",D664=""),"",C664-D664)</f>
        <v/>
      </c>
      <c r="F664" s="13"/>
      <c r="G664" s="13"/>
      <c r="H664" s="13"/>
      <c r="I664" s="13"/>
      <c r="J664" s="13"/>
      <c r="K664" s="13"/>
    </row>
    <row r="665" spans="1:11" ht="20.100000000000001" customHeight="1" x14ac:dyDescent="0.25">
      <c r="A665" s="69"/>
      <c r="B665" s="43" t="s">
        <v>54</v>
      </c>
      <c r="C665" s="63"/>
      <c r="D665" s="83"/>
      <c r="E665" s="44" t="str">
        <f>IF(AND(C665="",D665=""),"",C665-D665)</f>
        <v/>
      </c>
      <c r="F665" s="13"/>
      <c r="G665" s="13"/>
      <c r="H665" s="13"/>
      <c r="I665" s="13"/>
      <c r="J665" s="13"/>
      <c r="K665" s="13"/>
    </row>
    <row r="666" spans="1:11" ht="20.100000000000001" customHeight="1" x14ac:dyDescent="0.25">
      <c r="A666" s="69"/>
      <c r="B666" s="51" t="s">
        <v>55</v>
      </c>
      <c r="C666" s="52"/>
      <c r="D666" s="75"/>
      <c r="E666" s="52"/>
      <c r="F666" s="13"/>
      <c r="G666" s="13"/>
      <c r="H666" s="13"/>
      <c r="I666" s="13"/>
      <c r="J666" s="13"/>
      <c r="K666" s="13"/>
    </row>
    <row r="667" spans="1:11" ht="20.100000000000001" customHeight="1" x14ac:dyDescent="0.25">
      <c r="A667" s="69"/>
      <c r="B667" s="43" t="s">
        <v>56</v>
      </c>
      <c r="C667" s="63"/>
      <c r="D667" s="83"/>
      <c r="E667" s="44" t="str">
        <f>IF(AND(C667="",D667=""),"",C667-D667)</f>
        <v/>
      </c>
      <c r="F667" s="13"/>
      <c r="G667" s="13"/>
      <c r="H667" s="13"/>
      <c r="I667" s="13"/>
      <c r="J667" s="13"/>
      <c r="K667" s="13"/>
    </row>
    <row r="668" spans="1:11" ht="20.100000000000001" customHeight="1" x14ac:dyDescent="0.25">
      <c r="A668" s="69"/>
      <c r="B668" s="45" t="s">
        <v>57</v>
      </c>
      <c r="C668" s="63"/>
      <c r="D668" s="83"/>
      <c r="E668" s="46" t="str">
        <f>IF(AND(C668="",D668=""),"",C668-D668)</f>
        <v/>
      </c>
      <c r="F668" s="13"/>
      <c r="G668" s="13"/>
      <c r="H668" s="13"/>
      <c r="I668" s="13"/>
      <c r="J668" s="13"/>
      <c r="K668" s="13"/>
    </row>
    <row r="669" spans="1:11" ht="20.100000000000001" customHeight="1" x14ac:dyDescent="0.25">
      <c r="A669" s="69"/>
      <c r="B669" s="43" t="s">
        <v>58</v>
      </c>
      <c r="C669" s="63"/>
      <c r="D669" s="83"/>
      <c r="E669" s="44" t="str">
        <f>IF(AND(C669="",D669=""),"",C669-D669)</f>
        <v/>
      </c>
      <c r="F669" s="13"/>
      <c r="G669" s="13"/>
      <c r="H669" s="13"/>
      <c r="I669" s="13"/>
      <c r="J669" s="13"/>
      <c r="K669" s="13"/>
    </row>
    <row r="670" spans="1:11" ht="20.100000000000001" customHeight="1" x14ac:dyDescent="0.25">
      <c r="A670" s="69"/>
      <c r="B670" s="45" t="s">
        <v>59</v>
      </c>
      <c r="C670" s="63"/>
      <c r="D670" s="83"/>
      <c r="E670" s="46" t="str">
        <f>IF(AND(C670="",D670=""),"",C670-D670)</f>
        <v/>
      </c>
      <c r="F670" s="13"/>
      <c r="G670" s="13"/>
      <c r="H670" s="13"/>
      <c r="I670" s="13"/>
      <c r="J670" s="13"/>
      <c r="K670" s="13"/>
    </row>
    <row r="671" spans="1:11" ht="20.100000000000001" customHeight="1" x14ac:dyDescent="0.25">
      <c r="A671" s="69"/>
      <c r="B671" s="51" t="s">
        <v>60</v>
      </c>
      <c r="C671" s="52"/>
      <c r="D671" s="75"/>
      <c r="E671" s="52"/>
      <c r="F671" s="13"/>
      <c r="G671" s="13"/>
      <c r="H671" s="13"/>
      <c r="I671" s="13"/>
      <c r="J671" s="13"/>
      <c r="K671" s="13"/>
    </row>
    <row r="672" spans="1:11" ht="20.100000000000001" customHeight="1" x14ac:dyDescent="0.25">
      <c r="A672" s="69"/>
      <c r="B672" s="43" t="s">
        <v>61</v>
      </c>
      <c r="C672" s="63"/>
      <c r="D672" s="83"/>
      <c r="E672" s="44" t="str">
        <f>IF(AND(C672="",D672=""),"",C672-D672)</f>
        <v/>
      </c>
      <c r="F672" s="13"/>
      <c r="G672" s="13"/>
      <c r="H672" s="13"/>
      <c r="I672" s="13"/>
      <c r="J672" s="13"/>
      <c r="K672" s="13"/>
    </row>
    <row r="673" spans="1:11" ht="20.100000000000001" customHeight="1" x14ac:dyDescent="0.25">
      <c r="A673" s="69"/>
      <c r="B673" s="45" t="s">
        <v>62</v>
      </c>
      <c r="C673" s="63"/>
      <c r="D673" s="83"/>
      <c r="E673" s="46" t="str">
        <f>IF(AND(C673="",D673=""),"",C673-D673)</f>
        <v/>
      </c>
      <c r="F673" s="13"/>
      <c r="G673" s="13"/>
      <c r="H673" s="13"/>
      <c r="I673" s="13"/>
      <c r="J673" s="13"/>
      <c r="K673" s="13"/>
    </row>
    <row r="674" spans="1:11" ht="20.100000000000001" customHeight="1" x14ac:dyDescent="0.25">
      <c r="A674" s="69"/>
      <c r="B674" s="43" t="s">
        <v>63</v>
      </c>
      <c r="C674" s="63"/>
      <c r="D674" s="83"/>
      <c r="E674" s="44" t="str">
        <f>IF(AND(C674="",D674=""),"",C674-D674)</f>
        <v/>
      </c>
      <c r="F674" s="13"/>
      <c r="G674" s="13"/>
      <c r="H674" s="13"/>
      <c r="I674" s="13"/>
      <c r="J674" s="13"/>
      <c r="K674" s="13"/>
    </row>
    <row r="675" spans="1:11" ht="20.100000000000001" customHeight="1" x14ac:dyDescent="0.25">
      <c r="A675" s="69"/>
      <c r="B675" s="51" t="s">
        <v>64</v>
      </c>
      <c r="C675" s="52"/>
      <c r="D675" s="75"/>
      <c r="E675" s="52"/>
      <c r="F675" s="13"/>
      <c r="G675" s="13"/>
      <c r="H675" s="13"/>
      <c r="I675" s="13"/>
      <c r="J675" s="13"/>
      <c r="K675" s="13"/>
    </row>
    <row r="676" spans="1:11" ht="20.100000000000001" customHeight="1" x14ac:dyDescent="0.25">
      <c r="A676" s="69"/>
      <c r="B676" s="43" t="s">
        <v>65</v>
      </c>
      <c r="C676" s="63"/>
      <c r="D676" s="83"/>
      <c r="E676" s="44" t="str">
        <f>IF(AND(C676="",D676=""),"",C676-D676)</f>
        <v/>
      </c>
      <c r="F676" s="13"/>
      <c r="G676" s="13"/>
      <c r="H676" s="13"/>
      <c r="I676" s="13"/>
      <c r="J676" s="13"/>
      <c r="K676" s="13"/>
    </row>
    <row r="677" spans="1:11" ht="20.100000000000001" customHeight="1" x14ac:dyDescent="0.25">
      <c r="A677" s="69"/>
      <c r="B677" s="45" t="s">
        <v>66</v>
      </c>
      <c r="C677" s="63"/>
      <c r="D677" s="83"/>
      <c r="E677" s="46" t="str">
        <f>IF(AND(C677="",D677=""),"",C677-D677)</f>
        <v/>
      </c>
      <c r="F677" s="13"/>
      <c r="G677" s="13"/>
      <c r="H677" s="13"/>
      <c r="I677" s="13"/>
      <c r="J677" s="13"/>
      <c r="K677" s="13"/>
    </row>
    <row r="678" spans="1:11" ht="20.100000000000001" customHeight="1" x14ac:dyDescent="0.25">
      <c r="A678" s="69"/>
      <c r="B678" s="43" t="s">
        <v>67</v>
      </c>
      <c r="C678" s="63"/>
      <c r="D678" s="83"/>
      <c r="E678" s="44" t="str">
        <f>IF(AND(C678="",D678=""),"",C678-D678)</f>
        <v/>
      </c>
      <c r="F678" s="13"/>
      <c r="G678" s="13"/>
      <c r="H678" s="13"/>
      <c r="I678" s="13"/>
      <c r="J678" s="13"/>
      <c r="K678" s="13"/>
    </row>
    <row r="679" spans="1:11" ht="20.100000000000001" customHeight="1" x14ac:dyDescent="0.25">
      <c r="A679" s="69"/>
      <c r="B679" s="51" t="s">
        <v>68</v>
      </c>
      <c r="C679" s="52"/>
      <c r="D679" s="75"/>
      <c r="E679" s="52"/>
      <c r="F679" s="13"/>
      <c r="G679" s="13"/>
      <c r="H679" s="13"/>
      <c r="I679" s="13"/>
      <c r="J679" s="13"/>
      <c r="K679" s="13"/>
    </row>
    <row r="680" spans="1:11" ht="20.100000000000001" customHeight="1" x14ac:dyDescent="0.25">
      <c r="A680" s="69"/>
      <c r="B680" s="43" t="s">
        <v>69</v>
      </c>
      <c r="C680" s="63"/>
      <c r="D680" s="83"/>
      <c r="E680" s="44" t="str">
        <f>IF(AND(C680="",D680=""),"",C680-D680)</f>
        <v/>
      </c>
      <c r="F680" s="13"/>
      <c r="G680" s="13"/>
      <c r="H680" s="13"/>
      <c r="I680" s="13"/>
      <c r="J680" s="13"/>
      <c r="K680" s="13"/>
    </row>
    <row r="681" spans="1:11" ht="20.100000000000001" customHeight="1" x14ac:dyDescent="0.25">
      <c r="A681" s="69"/>
      <c r="B681" s="45" t="s">
        <v>70</v>
      </c>
      <c r="C681" s="63"/>
      <c r="D681" s="83"/>
      <c r="E681" s="46" t="str">
        <f>IF(AND(C681="",D681=""),"",C681-D681)</f>
        <v/>
      </c>
      <c r="F681" s="13"/>
      <c r="G681" s="13"/>
      <c r="H681" s="13"/>
      <c r="I681" s="13"/>
      <c r="J681" s="13"/>
      <c r="K681" s="13"/>
    </row>
    <row r="682" spans="1:11" ht="20.100000000000001" customHeight="1" x14ac:dyDescent="0.25">
      <c r="A682" s="69"/>
      <c r="B682" s="43" t="s">
        <v>71</v>
      </c>
      <c r="C682" s="63"/>
      <c r="D682" s="83"/>
      <c r="E682" s="44" t="str">
        <f>IF(AND(C682="",D682=""),"",C682-D682)</f>
        <v/>
      </c>
      <c r="F682" s="13"/>
      <c r="G682" s="13"/>
      <c r="H682" s="13"/>
      <c r="I682" s="13"/>
      <c r="J682" s="13"/>
      <c r="K682" s="13"/>
    </row>
    <row r="683" spans="1:11" ht="20.100000000000001" customHeight="1" x14ac:dyDescent="0.25">
      <c r="A683" s="69"/>
      <c r="B683" s="51" t="s">
        <v>72</v>
      </c>
      <c r="C683" s="52"/>
      <c r="D683" s="75"/>
      <c r="E683" s="52"/>
      <c r="F683" s="13"/>
      <c r="G683" s="13"/>
      <c r="H683" s="13"/>
      <c r="I683" s="13"/>
      <c r="J683" s="13"/>
      <c r="K683" s="13"/>
    </row>
    <row r="684" spans="1:11" ht="20.100000000000001" customHeight="1" x14ac:dyDescent="0.25">
      <c r="A684" s="69"/>
      <c r="B684" s="43" t="s">
        <v>73</v>
      </c>
      <c r="C684" s="63"/>
      <c r="D684" s="83"/>
      <c r="E684" s="44" t="str">
        <f>IF(AND(C684="",D684=""),"",C684-D684)</f>
        <v/>
      </c>
      <c r="F684" s="13"/>
      <c r="G684" s="13"/>
      <c r="H684" s="13"/>
      <c r="I684" s="13"/>
      <c r="J684" s="13"/>
      <c r="K684" s="13"/>
    </row>
    <row r="685" spans="1:11" ht="20.100000000000001" customHeight="1" x14ac:dyDescent="0.25">
      <c r="A685" s="69"/>
      <c r="B685" s="45" t="s">
        <v>74</v>
      </c>
      <c r="C685" s="63"/>
      <c r="D685" s="83"/>
      <c r="E685" s="46" t="str">
        <f>IF(AND(C685="",D685=""),"",C685-D685)</f>
        <v/>
      </c>
      <c r="F685" s="13"/>
      <c r="G685" s="13"/>
      <c r="H685" s="13"/>
      <c r="I685" s="13"/>
      <c r="J685" s="13"/>
      <c r="K685" s="13"/>
    </row>
    <row r="686" spans="1:11" ht="20.100000000000001" customHeight="1" x14ac:dyDescent="0.25">
      <c r="A686" s="69"/>
      <c r="B686" s="43" t="s">
        <v>75</v>
      </c>
      <c r="C686" s="63"/>
      <c r="D686" s="83"/>
      <c r="E686" s="44" t="str">
        <f>IF(AND(C686="",D686=""),"",C686-D686)</f>
        <v/>
      </c>
      <c r="F686" s="13"/>
      <c r="G686" s="13"/>
      <c r="H686" s="13"/>
      <c r="I686" s="13"/>
      <c r="J686" s="13"/>
      <c r="K686" s="13"/>
    </row>
    <row r="687" spans="1:11" ht="20.100000000000001" customHeight="1" x14ac:dyDescent="0.25">
      <c r="A687" s="69"/>
      <c r="B687" s="51" t="s">
        <v>76</v>
      </c>
      <c r="C687" s="52"/>
      <c r="D687" s="75"/>
      <c r="E687" s="52"/>
      <c r="F687" s="13"/>
      <c r="G687" s="13"/>
      <c r="H687" s="13"/>
      <c r="I687" s="13"/>
      <c r="J687" s="13"/>
      <c r="K687" s="13"/>
    </row>
    <row r="688" spans="1:11" ht="20.100000000000001" customHeight="1" x14ac:dyDescent="0.25">
      <c r="A688" s="69"/>
      <c r="B688" s="43" t="s">
        <v>77</v>
      </c>
      <c r="C688" s="63"/>
      <c r="D688" s="83"/>
      <c r="E688" s="44" t="str">
        <f>IF(AND(C688="",D688=""),"",C688-D688)</f>
        <v/>
      </c>
      <c r="F688" s="13"/>
      <c r="G688" s="13"/>
      <c r="H688" s="13"/>
      <c r="I688" s="13"/>
      <c r="J688" s="13"/>
      <c r="K688" s="13"/>
    </row>
    <row r="689" spans="1:11" ht="20.100000000000001" customHeight="1" x14ac:dyDescent="0.25">
      <c r="A689" s="69"/>
      <c r="B689" s="45" t="s">
        <v>78</v>
      </c>
      <c r="C689" s="63"/>
      <c r="D689" s="83"/>
      <c r="E689" s="46" t="str">
        <f>IF(AND(C689="",D689=""),"",C689-D689)</f>
        <v/>
      </c>
      <c r="F689" s="13"/>
      <c r="G689" s="13"/>
      <c r="H689" s="13"/>
      <c r="I689" s="13"/>
      <c r="J689" s="13"/>
      <c r="K689" s="13"/>
    </row>
    <row r="690" spans="1:11" ht="20.100000000000001" customHeight="1" x14ac:dyDescent="0.25">
      <c r="A690" s="69"/>
      <c r="B690" s="43" t="s">
        <v>79</v>
      </c>
      <c r="C690" s="63"/>
      <c r="D690" s="83"/>
      <c r="E690" s="65" t="str">
        <f>IF(AND(C690="",D690=""),"",C690-D690)</f>
        <v/>
      </c>
      <c r="F690" s="13"/>
      <c r="G690" s="13"/>
      <c r="H690" s="13"/>
      <c r="I690" s="13"/>
      <c r="J690" s="13"/>
      <c r="K690" s="13"/>
    </row>
    <row r="691" spans="1:11" ht="24" customHeight="1" x14ac:dyDescent="0.25">
      <c r="A691" s="69"/>
      <c r="B691" s="53" t="s">
        <v>80</v>
      </c>
      <c r="C691" s="54">
        <f>C645+C646+C647+C648+C649+C651+C652+C653+C654+C655+C657+C658+C659+C661+C662+C663+C664+C665+C667+C668+C669+C670+C672+C673+C674+C676+C677+C678+C680+C681+C682+C684+C685+C686+C688+C689+C690</f>
        <v>0</v>
      </c>
      <c r="D691" s="64">
        <f>D645+D646+D647+D648+D649+D651+D652+D653+D654+D655+D657+D658+D659+D661+D662+D663+D664+D665+D667+D668+D669+D670+D672+D673+D674+D676+D677+D678+D680+D681+D682+D684+D685+D686+D688+D689+D690</f>
        <v>0</v>
      </c>
      <c r="E691" s="103">
        <f>C691-D691</f>
        <v>0</v>
      </c>
      <c r="F691" s="13"/>
      <c r="G691" s="13"/>
      <c r="H691" s="13"/>
      <c r="I691" s="13"/>
      <c r="J691" s="13"/>
      <c r="K691" s="13"/>
    </row>
    <row r="692" spans="1:11" ht="6" customHeight="1" x14ac:dyDescent="0.25">
      <c r="A692" s="69"/>
      <c r="B692" s="68"/>
      <c r="C692" s="68"/>
      <c r="D692" s="68"/>
      <c r="E692" s="76"/>
      <c r="F692" s="13"/>
      <c r="G692" s="13"/>
      <c r="H692" s="13"/>
      <c r="I692" s="13"/>
      <c r="J692" s="13"/>
      <c r="K692" s="13"/>
    </row>
    <row r="693" spans="1:11" ht="24" customHeight="1" x14ac:dyDescent="0.25">
      <c r="A693" s="69"/>
      <c r="B693" s="55" t="s">
        <v>102</v>
      </c>
      <c r="C693" s="39"/>
      <c r="D693" s="70"/>
      <c r="E693" s="39"/>
      <c r="F693" s="13"/>
      <c r="G693" s="13"/>
      <c r="H693" s="13"/>
      <c r="I693" s="13"/>
      <c r="J693" s="13"/>
      <c r="K693" s="13"/>
    </row>
    <row r="694" spans="1:11" ht="21.95" customHeight="1" x14ac:dyDescent="0.25">
      <c r="A694" s="69"/>
      <c r="B694" s="56" t="s">
        <v>82</v>
      </c>
      <c r="C694" s="57">
        <f>C640</f>
        <v>0</v>
      </c>
      <c r="D694" s="84">
        <f>D640</f>
        <v>0</v>
      </c>
      <c r="E694" s="58"/>
      <c r="F694" s="13"/>
      <c r="G694" s="13"/>
      <c r="H694" s="13"/>
      <c r="I694" s="13"/>
      <c r="J694" s="13"/>
      <c r="K694" s="13"/>
    </row>
    <row r="695" spans="1:11" ht="21.95" customHeight="1" x14ac:dyDescent="0.25">
      <c r="A695" s="69"/>
      <c r="B695" s="56" t="s">
        <v>83</v>
      </c>
      <c r="C695" s="57">
        <f>C691</f>
        <v>0</v>
      </c>
      <c r="D695" s="84">
        <f>D691</f>
        <v>0</v>
      </c>
      <c r="E695" s="58"/>
      <c r="F695" s="13"/>
      <c r="G695" s="13"/>
      <c r="H695" s="13"/>
      <c r="I695" s="13"/>
      <c r="J695" s="13"/>
      <c r="K695" s="13"/>
    </row>
    <row r="696" spans="1:11" ht="21.95" customHeight="1" x14ac:dyDescent="0.25">
      <c r="A696" s="69"/>
      <c r="B696" s="59" t="s">
        <v>84</v>
      </c>
      <c r="C696" s="60">
        <f>C694-C695</f>
        <v>0</v>
      </c>
      <c r="D696" s="85">
        <f>D640-D691</f>
        <v>0</v>
      </c>
      <c r="E696" s="61"/>
      <c r="F696" s="13"/>
      <c r="G696" s="13"/>
      <c r="H696" s="13"/>
      <c r="I696" s="13"/>
      <c r="J696" s="13"/>
      <c r="K696" s="13"/>
    </row>
    <row r="697" spans="1:11" ht="21.95" customHeight="1" x14ac:dyDescent="0.25">
      <c r="A697" s="69"/>
      <c r="B697" s="78" t="s">
        <v>5</v>
      </c>
      <c r="C697" s="79" t="str">
        <f>IF(C694=0,"",1-C695/C694)</f>
        <v/>
      </c>
      <c r="D697" s="86" t="str">
        <f>IF(D640=0,"",1-D691/D640)</f>
        <v/>
      </c>
      <c r="E697" s="87"/>
      <c r="F697" s="13"/>
      <c r="G697" s="13"/>
      <c r="H697" s="13"/>
      <c r="I697" s="13"/>
      <c r="J697" s="13"/>
      <c r="K697" s="13"/>
    </row>
    <row r="698" spans="1:11" ht="6" customHeight="1" x14ac:dyDescent="0.25">
      <c r="A698" s="69"/>
      <c r="B698" s="69"/>
      <c r="C698" s="69"/>
      <c r="D698" s="69"/>
      <c r="E698" s="77"/>
      <c r="F698" s="13"/>
      <c r="G698" s="13"/>
      <c r="H698" s="13"/>
      <c r="I698" s="13"/>
      <c r="J698" s="13"/>
      <c r="K698" s="13"/>
    </row>
    <row r="699" spans="1:11" ht="6" customHeight="1" x14ac:dyDescent="0.25">
      <c r="A699" s="69"/>
      <c r="B699" s="69"/>
      <c r="C699" s="69"/>
      <c r="D699" s="69"/>
      <c r="E699" s="77"/>
      <c r="F699" s="13"/>
      <c r="G699" s="13"/>
      <c r="H699" s="13"/>
      <c r="I699" s="13"/>
      <c r="J699" s="13"/>
      <c r="K699" s="13"/>
    </row>
    <row r="700" spans="1:11" ht="6" customHeight="1" x14ac:dyDescent="0.25">
      <c r="A700" s="69"/>
      <c r="B700" s="69"/>
      <c r="C700" s="69"/>
      <c r="D700" s="69"/>
      <c r="E700" s="77"/>
      <c r="F700" s="13"/>
      <c r="G700" s="13"/>
      <c r="H700" s="13"/>
      <c r="I700" s="13"/>
      <c r="J700" s="13"/>
      <c r="K700" s="13"/>
    </row>
    <row r="701" spans="1:11" ht="32.1" customHeight="1" x14ac:dyDescent="0.25">
      <c r="A701" s="69"/>
      <c r="B701" s="80" t="s">
        <v>103</v>
      </c>
      <c r="C701" s="81"/>
      <c r="D701" s="82"/>
      <c r="E701" s="81"/>
      <c r="F701" s="13"/>
      <c r="G701" s="13"/>
      <c r="H701" s="13"/>
      <c r="I701" s="13"/>
      <c r="J701" s="13"/>
      <c r="K701" s="13"/>
    </row>
    <row r="702" spans="1:11" ht="6" customHeight="1" x14ac:dyDescent="0.25">
      <c r="A702" s="69"/>
      <c r="B702" s="37"/>
      <c r="C702" s="37"/>
      <c r="D702" s="37"/>
      <c r="E702" s="66"/>
      <c r="F702" s="13"/>
      <c r="G702" s="13"/>
      <c r="H702" s="13"/>
      <c r="I702" s="13"/>
      <c r="J702" s="13"/>
      <c r="K702" s="13"/>
    </row>
    <row r="703" spans="1:11" ht="24" customHeight="1" x14ac:dyDescent="0.25">
      <c r="A703" s="69"/>
      <c r="B703" s="40" t="s">
        <v>22</v>
      </c>
      <c r="C703" s="41"/>
      <c r="D703" s="71"/>
      <c r="E703" s="41"/>
      <c r="F703" s="13"/>
      <c r="G703" s="13"/>
      <c r="H703" s="13"/>
      <c r="I703" s="13"/>
      <c r="J703" s="13"/>
      <c r="K703" s="13"/>
    </row>
    <row r="704" spans="1:11" ht="21.95" customHeight="1" x14ac:dyDescent="0.25">
      <c r="A704" s="69"/>
      <c r="B704" s="42" t="s">
        <v>20</v>
      </c>
      <c r="C704" s="42" t="s">
        <v>23</v>
      </c>
      <c r="D704" s="72" t="s">
        <v>24</v>
      </c>
      <c r="E704" s="42" t="s">
        <v>25</v>
      </c>
      <c r="F704" s="13"/>
      <c r="G704" s="13"/>
      <c r="H704" s="13"/>
      <c r="I704" s="13"/>
      <c r="J704" s="13"/>
      <c r="K704" s="13"/>
    </row>
    <row r="705" spans="1:11" ht="20.100000000000001" customHeight="1" x14ac:dyDescent="0.25">
      <c r="A705" s="69"/>
      <c r="B705" s="43" t="s">
        <v>26</v>
      </c>
      <c r="C705" s="63"/>
      <c r="D705" s="83"/>
      <c r="E705" s="44" t="str">
        <f>IF(AND(C705="",D705=""),"",D705-C705)</f>
        <v/>
      </c>
      <c r="F705" s="13"/>
      <c r="G705" s="13"/>
      <c r="H705" s="13"/>
      <c r="I705" s="13"/>
      <c r="J705" s="13"/>
      <c r="K705" s="13"/>
    </row>
    <row r="706" spans="1:11" ht="20.100000000000001" customHeight="1" x14ac:dyDescent="0.25">
      <c r="A706" s="69"/>
      <c r="B706" s="45" t="s">
        <v>27</v>
      </c>
      <c r="C706" s="63"/>
      <c r="D706" s="83"/>
      <c r="E706" s="46" t="str">
        <f>IF(AND(C706="",D706=""),"",D706-C706)</f>
        <v/>
      </c>
      <c r="F706" s="13"/>
      <c r="G706" s="13"/>
      <c r="H706" s="13"/>
      <c r="I706" s="13"/>
      <c r="J706" s="13"/>
      <c r="K706" s="13"/>
    </row>
    <row r="707" spans="1:11" ht="20.100000000000001" customHeight="1" x14ac:dyDescent="0.25">
      <c r="A707" s="69"/>
      <c r="B707" s="43" t="s">
        <v>28</v>
      </c>
      <c r="C707" s="63"/>
      <c r="D707" s="83"/>
      <c r="E707" s="44" t="str">
        <f>IF(AND(C707="",D707=""),"",D707-C707)</f>
        <v/>
      </c>
      <c r="F707" s="13"/>
      <c r="G707" s="13"/>
      <c r="H707" s="13"/>
      <c r="I707" s="13"/>
      <c r="J707" s="13"/>
      <c r="K707" s="13"/>
    </row>
    <row r="708" spans="1:11" ht="20.100000000000001" customHeight="1" x14ac:dyDescent="0.25">
      <c r="A708" s="69"/>
      <c r="B708" s="45" t="s">
        <v>29</v>
      </c>
      <c r="C708" s="63"/>
      <c r="D708" s="83"/>
      <c r="E708" s="46" t="str">
        <f>IF(AND(C708="",D708=""),"",D708-C708)</f>
        <v/>
      </c>
      <c r="F708" s="13"/>
      <c r="G708" s="13"/>
      <c r="H708" s="13"/>
      <c r="I708" s="13"/>
      <c r="J708" s="13"/>
      <c r="K708" s="13"/>
    </row>
    <row r="709" spans="1:11" ht="20.100000000000001" customHeight="1" x14ac:dyDescent="0.25">
      <c r="A709" s="69"/>
      <c r="B709" s="43" t="s">
        <v>30</v>
      </c>
      <c r="C709" s="63"/>
      <c r="D709" s="83"/>
      <c r="E709" s="44" t="str">
        <f>IF(AND(C709="",D709=""),"",D709-C709)</f>
        <v/>
      </c>
      <c r="F709" s="13"/>
      <c r="G709" s="13"/>
      <c r="H709" s="13"/>
      <c r="I709" s="13"/>
      <c r="J709" s="13"/>
      <c r="K709" s="13"/>
    </row>
    <row r="710" spans="1:11" ht="24" customHeight="1" x14ac:dyDescent="0.25">
      <c r="A710" s="69"/>
      <c r="B710" s="47" t="s">
        <v>31</v>
      </c>
      <c r="C710" s="48">
        <f>SUM(C705:C709)</f>
        <v>0</v>
      </c>
      <c r="D710" s="73">
        <f>SUM(D705:D709)</f>
        <v>0</v>
      </c>
      <c r="E710" s="48">
        <f>D710-C710</f>
        <v>0</v>
      </c>
      <c r="F710" s="13"/>
      <c r="G710" s="13"/>
      <c r="H710" s="13"/>
      <c r="I710" s="13"/>
      <c r="J710" s="13"/>
      <c r="K710" s="13"/>
    </row>
    <row r="711" spans="1:11" ht="6" customHeight="1" x14ac:dyDescent="0.25">
      <c r="A711" s="69"/>
      <c r="B711" s="68"/>
      <c r="C711" s="68"/>
      <c r="D711" s="68"/>
      <c r="E711" s="76"/>
      <c r="F711" s="13"/>
      <c r="G711" s="13"/>
      <c r="H711" s="13"/>
      <c r="I711" s="13"/>
      <c r="J711" s="13"/>
      <c r="K711" s="13"/>
    </row>
    <row r="712" spans="1:11" ht="24" customHeight="1" x14ac:dyDescent="0.25">
      <c r="A712" s="69"/>
      <c r="B712" s="49" t="s">
        <v>32</v>
      </c>
      <c r="C712" s="50"/>
      <c r="D712" s="74"/>
      <c r="E712" s="50"/>
      <c r="F712" s="13"/>
      <c r="G712" s="13"/>
      <c r="H712" s="13"/>
      <c r="I712" s="13"/>
      <c r="J712" s="13"/>
      <c r="K712" s="13"/>
    </row>
    <row r="713" spans="1:11" ht="21.95" customHeight="1" x14ac:dyDescent="0.25">
      <c r="A713" s="69"/>
      <c r="B713" s="42" t="s">
        <v>20</v>
      </c>
      <c r="C713" s="42" t="s">
        <v>23</v>
      </c>
      <c r="D713" s="72" t="s">
        <v>24</v>
      </c>
      <c r="E713" s="42" t="s">
        <v>25</v>
      </c>
      <c r="F713" s="13"/>
      <c r="G713" s="13"/>
      <c r="H713" s="13"/>
      <c r="I713" s="13"/>
      <c r="J713" s="13"/>
      <c r="K713" s="13"/>
    </row>
    <row r="714" spans="1:11" ht="20.100000000000001" customHeight="1" x14ac:dyDescent="0.25">
      <c r="A714" s="69"/>
      <c r="B714" s="51" t="s">
        <v>33</v>
      </c>
      <c r="C714" s="52"/>
      <c r="D714" s="75"/>
      <c r="E714" s="52"/>
      <c r="F714" s="13"/>
      <c r="G714" s="13"/>
      <c r="H714" s="13"/>
      <c r="I714" s="13"/>
      <c r="J714" s="13"/>
      <c r="K714" s="13"/>
    </row>
    <row r="715" spans="1:11" ht="20.100000000000001" customHeight="1" x14ac:dyDescent="0.25">
      <c r="A715" s="69"/>
      <c r="B715" s="43" t="s">
        <v>34</v>
      </c>
      <c r="C715" s="63"/>
      <c r="D715" s="83"/>
      <c r="E715" s="44" t="str">
        <f>IF(AND(C715="",D715=""),"",C715-D715)</f>
        <v/>
      </c>
      <c r="F715" s="13"/>
      <c r="G715" s="13"/>
      <c r="H715" s="13"/>
      <c r="I715" s="13"/>
      <c r="J715" s="13"/>
      <c r="K715" s="13"/>
    </row>
    <row r="716" spans="1:11" ht="20.100000000000001" customHeight="1" x14ac:dyDescent="0.25">
      <c r="A716" s="69"/>
      <c r="B716" s="45" t="s">
        <v>35</v>
      </c>
      <c r="C716" s="63"/>
      <c r="D716" s="83"/>
      <c r="E716" s="46" t="str">
        <f>IF(AND(C716="",D716=""),"",C716-D716)</f>
        <v/>
      </c>
      <c r="F716" s="13"/>
      <c r="G716" s="13"/>
      <c r="H716" s="13"/>
      <c r="I716" s="13"/>
      <c r="J716" s="13"/>
      <c r="K716" s="13"/>
    </row>
    <row r="717" spans="1:11" ht="20.100000000000001" customHeight="1" x14ac:dyDescent="0.25">
      <c r="A717" s="69"/>
      <c r="B717" s="43" t="s">
        <v>36</v>
      </c>
      <c r="C717" s="63"/>
      <c r="D717" s="83"/>
      <c r="E717" s="44" t="str">
        <f>IF(AND(C717="",D717=""),"",C717-D717)</f>
        <v/>
      </c>
      <c r="F717" s="13"/>
      <c r="G717" s="13"/>
      <c r="H717" s="13"/>
      <c r="I717" s="13"/>
      <c r="J717" s="13"/>
      <c r="K717" s="13"/>
    </row>
    <row r="718" spans="1:11" ht="20.100000000000001" customHeight="1" x14ac:dyDescent="0.25">
      <c r="A718" s="69"/>
      <c r="B718" s="45" t="s">
        <v>37</v>
      </c>
      <c r="C718" s="63"/>
      <c r="D718" s="83"/>
      <c r="E718" s="46" t="str">
        <f>IF(AND(C718="",D718=""),"",C718-D718)</f>
        <v/>
      </c>
      <c r="F718" s="13"/>
      <c r="G718" s="13"/>
      <c r="H718" s="13"/>
      <c r="I718" s="13"/>
      <c r="J718" s="13"/>
      <c r="K718" s="13"/>
    </row>
    <row r="719" spans="1:11" ht="20.100000000000001" customHeight="1" x14ac:dyDescent="0.25">
      <c r="A719" s="69"/>
      <c r="B719" s="43" t="s">
        <v>38</v>
      </c>
      <c r="C719" s="63"/>
      <c r="D719" s="83"/>
      <c r="E719" s="44" t="str">
        <f>IF(AND(C719="",D719=""),"",C719-D719)</f>
        <v/>
      </c>
      <c r="F719" s="13"/>
      <c r="G719" s="13"/>
      <c r="H719" s="13"/>
      <c r="I719" s="13"/>
      <c r="J719" s="13"/>
      <c r="K719" s="13"/>
    </row>
    <row r="720" spans="1:11" ht="20.100000000000001" customHeight="1" x14ac:dyDescent="0.25">
      <c r="A720" s="69"/>
      <c r="B720" s="51" t="s">
        <v>39</v>
      </c>
      <c r="C720" s="52"/>
      <c r="D720" s="75"/>
      <c r="E720" s="52"/>
      <c r="F720" s="13"/>
      <c r="G720" s="13"/>
      <c r="H720" s="13"/>
      <c r="I720" s="13"/>
      <c r="J720" s="13"/>
      <c r="K720" s="13"/>
    </row>
    <row r="721" spans="1:11" ht="20.100000000000001" customHeight="1" x14ac:dyDescent="0.25">
      <c r="A721" s="69"/>
      <c r="B721" s="43" t="s">
        <v>40</v>
      </c>
      <c r="C721" s="63"/>
      <c r="D721" s="83"/>
      <c r="E721" s="44" t="str">
        <f>IF(AND(C721="",D721=""),"",C721-D721)</f>
        <v/>
      </c>
      <c r="F721" s="13"/>
      <c r="G721" s="13"/>
      <c r="H721" s="13"/>
      <c r="I721" s="13"/>
      <c r="J721" s="13"/>
      <c r="K721" s="13"/>
    </row>
    <row r="722" spans="1:11" ht="20.100000000000001" customHeight="1" x14ac:dyDescent="0.25">
      <c r="A722" s="69"/>
      <c r="B722" s="45" t="s">
        <v>41</v>
      </c>
      <c r="C722" s="63"/>
      <c r="D722" s="83"/>
      <c r="E722" s="46" t="str">
        <f>IF(AND(C722="",D722=""),"",C722-D722)</f>
        <v/>
      </c>
      <c r="F722" s="13"/>
      <c r="G722" s="13"/>
      <c r="H722" s="13"/>
      <c r="I722" s="13"/>
      <c r="J722" s="13"/>
      <c r="K722" s="13"/>
    </row>
    <row r="723" spans="1:11" ht="20.100000000000001" customHeight="1" x14ac:dyDescent="0.25">
      <c r="A723" s="69"/>
      <c r="B723" s="43" t="s">
        <v>42</v>
      </c>
      <c r="C723" s="63"/>
      <c r="D723" s="83"/>
      <c r="E723" s="44" t="str">
        <f>IF(AND(C723="",D723=""),"",C723-D723)</f>
        <v/>
      </c>
      <c r="F723" s="13"/>
      <c r="G723" s="13"/>
      <c r="H723" s="13"/>
      <c r="I723" s="13"/>
      <c r="J723" s="13"/>
      <c r="K723" s="13"/>
    </row>
    <row r="724" spans="1:11" ht="20.100000000000001" customHeight="1" x14ac:dyDescent="0.25">
      <c r="A724" s="69"/>
      <c r="B724" s="45" t="s">
        <v>43</v>
      </c>
      <c r="C724" s="63"/>
      <c r="D724" s="83"/>
      <c r="E724" s="46" t="str">
        <f>IF(AND(C724="",D724=""),"",C724-D724)</f>
        <v/>
      </c>
      <c r="F724" s="13"/>
      <c r="G724" s="13"/>
      <c r="H724" s="13"/>
      <c r="I724" s="13"/>
      <c r="J724" s="13"/>
      <c r="K724" s="13"/>
    </row>
    <row r="725" spans="1:11" ht="20.100000000000001" customHeight="1" x14ac:dyDescent="0.25">
      <c r="A725" s="69"/>
      <c r="B725" s="43" t="s">
        <v>44</v>
      </c>
      <c r="C725" s="63"/>
      <c r="D725" s="83"/>
      <c r="E725" s="44" t="str">
        <f>IF(AND(C725="",D725=""),"",C725-D725)</f>
        <v/>
      </c>
      <c r="F725" s="13"/>
      <c r="G725" s="13"/>
      <c r="H725" s="13"/>
      <c r="I725" s="13"/>
      <c r="J725" s="13"/>
      <c r="K725" s="13"/>
    </row>
    <row r="726" spans="1:11" ht="20.100000000000001" customHeight="1" x14ac:dyDescent="0.25">
      <c r="A726" s="69"/>
      <c r="B726" s="51" t="s">
        <v>45</v>
      </c>
      <c r="C726" s="52"/>
      <c r="D726" s="75"/>
      <c r="E726" s="52"/>
      <c r="F726" s="13"/>
      <c r="G726" s="13"/>
      <c r="H726" s="13"/>
      <c r="I726" s="13"/>
      <c r="J726" s="13"/>
      <c r="K726" s="13"/>
    </row>
    <row r="727" spans="1:11" ht="20.100000000000001" customHeight="1" x14ac:dyDescent="0.25">
      <c r="A727" s="69"/>
      <c r="B727" s="43" t="s">
        <v>46</v>
      </c>
      <c r="C727" s="63"/>
      <c r="D727" s="83"/>
      <c r="E727" s="44" t="str">
        <f>IF(AND(C727="",D727=""),"",C727-D727)</f>
        <v/>
      </c>
      <c r="F727" s="13"/>
      <c r="G727" s="13"/>
      <c r="H727" s="13"/>
      <c r="I727" s="13"/>
      <c r="J727" s="13"/>
      <c r="K727" s="13"/>
    </row>
    <row r="728" spans="1:11" ht="20.100000000000001" customHeight="1" x14ac:dyDescent="0.25">
      <c r="A728" s="69"/>
      <c r="B728" s="45" t="s">
        <v>47</v>
      </c>
      <c r="C728" s="63"/>
      <c r="D728" s="83"/>
      <c r="E728" s="46" t="str">
        <f>IF(AND(C728="",D728=""),"",C728-D728)</f>
        <v/>
      </c>
      <c r="F728" s="13"/>
      <c r="G728" s="13"/>
      <c r="H728" s="13"/>
      <c r="I728" s="13"/>
      <c r="J728" s="13"/>
      <c r="K728" s="13"/>
    </row>
    <row r="729" spans="1:11" ht="20.100000000000001" customHeight="1" x14ac:dyDescent="0.25">
      <c r="A729" s="69"/>
      <c r="B729" s="43" t="s">
        <v>48</v>
      </c>
      <c r="C729" s="63"/>
      <c r="D729" s="83"/>
      <c r="E729" s="44" t="str">
        <f>IF(AND(C729="",D729=""),"",C729-D729)</f>
        <v/>
      </c>
      <c r="F729" s="13"/>
      <c r="G729" s="13"/>
      <c r="H729" s="13"/>
      <c r="I729" s="13"/>
      <c r="J729" s="13"/>
      <c r="K729" s="13"/>
    </row>
    <row r="730" spans="1:11" ht="20.100000000000001" customHeight="1" x14ac:dyDescent="0.25">
      <c r="A730" s="69"/>
      <c r="B730" s="51" t="s">
        <v>49</v>
      </c>
      <c r="C730" s="52"/>
      <c r="D730" s="75"/>
      <c r="E730" s="52"/>
      <c r="F730" s="13"/>
      <c r="G730" s="13"/>
      <c r="H730" s="13"/>
      <c r="I730" s="13"/>
      <c r="J730" s="13"/>
      <c r="K730" s="13"/>
    </row>
    <row r="731" spans="1:11" ht="20.100000000000001" customHeight="1" x14ac:dyDescent="0.25">
      <c r="A731" s="69"/>
      <c r="B731" s="43" t="s">
        <v>50</v>
      </c>
      <c r="C731" s="63"/>
      <c r="D731" s="83"/>
      <c r="E731" s="44" t="str">
        <f>IF(AND(C731="",D731=""),"",C731-D731)</f>
        <v/>
      </c>
      <c r="F731" s="13"/>
      <c r="G731" s="13"/>
      <c r="H731" s="13"/>
      <c r="I731" s="13"/>
      <c r="J731" s="13"/>
      <c r="K731" s="13"/>
    </row>
    <row r="732" spans="1:11" ht="20.100000000000001" customHeight="1" x14ac:dyDescent="0.25">
      <c r="A732" s="69"/>
      <c r="B732" s="45" t="s">
        <v>51</v>
      </c>
      <c r="C732" s="63"/>
      <c r="D732" s="83"/>
      <c r="E732" s="46" t="str">
        <f>IF(AND(C732="",D732=""),"",C732-D732)</f>
        <v/>
      </c>
      <c r="F732" s="13"/>
      <c r="G732" s="13"/>
      <c r="H732" s="13"/>
      <c r="I732" s="13"/>
      <c r="J732" s="13"/>
      <c r="K732" s="13"/>
    </row>
    <row r="733" spans="1:11" ht="20.100000000000001" customHeight="1" x14ac:dyDescent="0.25">
      <c r="A733" s="69"/>
      <c r="B733" s="43" t="s">
        <v>52</v>
      </c>
      <c r="C733" s="63"/>
      <c r="D733" s="83"/>
      <c r="E733" s="44" t="str">
        <f>IF(AND(C733="",D733=""),"",C733-D733)</f>
        <v/>
      </c>
      <c r="F733" s="13"/>
      <c r="G733" s="13"/>
      <c r="H733" s="13"/>
      <c r="I733" s="13"/>
      <c r="J733" s="13"/>
      <c r="K733" s="13"/>
    </row>
    <row r="734" spans="1:11" ht="20.100000000000001" customHeight="1" x14ac:dyDescent="0.25">
      <c r="A734" s="69"/>
      <c r="B734" s="45" t="s">
        <v>53</v>
      </c>
      <c r="C734" s="63"/>
      <c r="D734" s="83"/>
      <c r="E734" s="46" t="str">
        <f>IF(AND(C734="",D734=""),"",C734-D734)</f>
        <v/>
      </c>
      <c r="F734" s="13"/>
      <c r="G734" s="13"/>
      <c r="H734" s="13"/>
      <c r="I734" s="13"/>
      <c r="J734" s="13"/>
      <c r="K734" s="13"/>
    </row>
    <row r="735" spans="1:11" ht="20.100000000000001" customHeight="1" x14ac:dyDescent="0.25">
      <c r="A735" s="69"/>
      <c r="B735" s="43" t="s">
        <v>54</v>
      </c>
      <c r="C735" s="63"/>
      <c r="D735" s="83"/>
      <c r="E735" s="44" t="str">
        <f>IF(AND(C735="",D735=""),"",C735-D735)</f>
        <v/>
      </c>
      <c r="F735" s="13"/>
      <c r="G735" s="13"/>
      <c r="H735" s="13"/>
      <c r="I735" s="13"/>
      <c r="J735" s="13"/>
      <c r="K735" s="13"/>
    </row>
    <row r="736" spans="1:11" ht="20.100000000000001" customHeight="1" x14ac:dyDescent="0.25">
      <c r="A736" s="69"/>
      <c r="B736" s="51" t="s">
        <v>55</v>
      </c>
      <c r="C736" s="52"/>
      <c r="D736" s="75"/>
      <c r="E736" s="52"/>
      <c r="F736" s="13"/>
      <c r="G736" s="13"/>
      <c r="H736" s="13"/>
      <c r="I736" s="13"/>
      <c r="J736" s="13"/>
      <c r="K736" s="13"/>
    </row>
    <row r="737" spans="1:11" ht="20.100000000000001" customHeight="1" x14ac:dyDescent="0.25">
      <c r="A737" s="69"/>
      <c r="B737" s="43" t="s">
        <v>56</v>
      </c>
      <c r="C737" s="63"/>
      <c r="D737" s="83"/>
      <c r="E737" s="44" t="str">
        <f>IF(AND(C737="",D737=""),"",C737-D737)</f>
        <v/>
      </c>
      <c r="F737" s="13"/>
      <c r="G737" s="13"/>
      <c r="H737" s="13"/>
      <c r="I737" s="13"/>
      <c r="J737" s="13"/>
      <c r="K737" s="13"/>
    </row>
    <row r="738" spans="1:11" ht="20.100000000000001" customHeight="1" x14ac:dyDescent="0.25">
      <c r="A738" s="69"/>
      <c r="B738" s="45" t="s">
        <v>57</v>
      </c>
      <c r="C738" s="63"/>
      <c r="D738" s="83"/>
      <c r="E738" s="46" t="str">
        <f>IF(AND(C738="",D738=""),"",C738-D738)</f>
        <v/>
      </c>
      <c r="F738" s="13"/>
      <c r="G738" s="13"/>
      <c r="H738" s="13"/>
      <c r="I738" s="13"/>
      <c r="J738" s="13"/>
      <c r="K738" s="13"/>
    </row>
    <row r="739" spans="1:11" ht="20.100000000000001" customHeight="1" x14ac:dyDescent="0.25">
      <c r="A739" s="69"/>
      <c r="B739" s="43" t="s">
        <v>58</v>
      </c>
      <c r="C739" s="63"/>
      <c r="D739" s="83"/>
      <c r="E739" s="44" t="str">
        <f>IF(AND(C739="",D739=""),"",C739-D739)</f>
        <v/>
      </c>
      <c r="F739" s="13"/>
      <c r="G739" s="13"/>
      <c r="H739" s="13"/>
      <c r="I739" s="13"/>
      <c r="J739" s="13"/>
      <c r="K739" s="13"/>
    </row>
    <row r="740" spans="1:11" ht="20.100000000000001" customHeight="1" x14ac:dyDescent="0.25">
      <c r="A740" s="69"/>
      <c r="B740" s="45" t="s">
        <v>59</v>
      </c>
      <c r="C740" s="63"/>
      <c r="D740" s="83"/>
      <c r="E740" s="46" t="str">
        <f>IF(AND(C740="",D740=""),"",C740-D740)</f>
        <v/>
      </c>
      <c r="F740" s="13"/>
      <c r="G740" s="13"/>
      <c r="H740" s="13"/>
      <c r="I740" s="13"/>
      <c r="J740" s="13"/>
      <c r="K740" s="13"/>
    </row>
    <row r="741" spans="1:11" ht="20.100000000000001" customHeight="1" x14ac:dyDescent="0.25">
      <c r="A741" s="69"/>
      <c r="B741" s="51" t="s">
        <v>60</v>
      </c>
      <c r="C741" s="52"/>
      <c r="D741" s="75"/>
      <c r="E741" s="52"/>
      <c r="F741" s="13"/>
      <c r="G741" s="13"/>
      <c r="H741" s="13"/>
      <c r="I741" s="13"/>
      <c r="J741" s="13"/>
      <c r="K741" s="13"/>
    </row>
    <row r="742" spans="1:11" ht="20.100000000000001" customHeight="1" x14ac:dyDescent="0.25">
      <c r="A742" s="69"/>
      <c r="B742" s="43" t="s">
        <v>61</v>
      </c>
      <c r="C742" s="63"/>
      <c r="D742" s="83"/>
      <c r="E742" s="44" t="str">
        <f>IF(AND(C742="",D742=""),"",C742-D742)</f>
        <v/>
      </c>
      <c r="F742" s="13"/>
      <c r="G742" s="13"/>
      <c r="H742" s="13"/>
      <c r="I742" s="13"/>
      <c r="J742" s="13"/>
      <c r="K742" s="13"/>
    </row>
    <row r="743" spans="1:11" ht="20.100000000000001" customHeight="1" x14ac:dyDescent="0.25">
      <c r="A743" s="69"/>
      <c r="B743" s="45" t="s">
        <v>62</v>
      </c>
      <c r="C743" s="63"/>
      <c r="D743" s="83"/>
      <c r="E743" s="46" t="str">
        <f>IF(AND(C743="",D743=""),"",C743-D743)</f>
        <v/>
      </c>
      <c r="F743" s="13"/>
      <c r="G743" s="13"/>
      <c r="H743" s="13"/>
      <c r="I743" s="13"/>
      <c r="J743" s="13"/>
      <c r="K743" s="13"/>
    </row>
    <row r="744" spans="1:11" ht="20.100000000000001" customHeight="1" x14ac:dyDescent="0.25">
      <c r="A744" s="69"/>
      <c r="B744" s="43" t="s">
        <v>63</v>
      </c>
      <c r="C744" s="63"/>
      <c r="D744" s="83"/>
      <c r="E744" s="44" t="str">
        <f>IF(AND(C744="",D744=""),"",C744-D744)</f>
        <v/>
      </c>
      <c r="F744" s="13"/>
      <c r="G744" s="13"/>
      <c r="H744" s="13"/>
      <c r="I744" s="13"/>
      <c r="J744" s="13"/>
      <c r="K744" s="13"/>
    </row>
    <row r="745" spans="1:11" ht="20.100000000000001" customHeight="1" x14ac:dyDescent="0.25">
      <c r="A745" s="69"/>
      <c r="B745" s="51" t="s">
        <v>64</v>
      </c>
      <c r="C745" s="52"/>
      <c r="D745" s="75"/>
      <c r="E745" s="52"/>
      <c r="F745" s="13"/>
      <c r="G745" s="13"/>
      <c r="H745" s="13"/>
      <c r="I745" s="13"/>
      <c r="J745" s="13"/>
      <c r="K745" s="13"/>
    </row>
    <row r="746" spans="1:11" ht="20.100000000000001" customHeight="1" x14ac:dyDescent="0.25">
      <c r="A746" s="69"/>
      <c r="B746" s="43" t="s">
        <v>65</v>
      </c>
      <c r="C746" s="63"/>
      <c r="D746" s="83"/>
      <c r="E746" s="44" t="str">
        <f>IF(AND(C746="",D746=""),"",C746-D746)</f>
        <v/>
      </c>
      <c r="F746" s="13"/>
      <c r="G746" s="13"/>
      <c r="H746" s="13"/>
      <c r="I746" s="13"/>
      <c r="J746" s="13"/>
      <c r="K746" s="13"/>
    </row>
    <row r="747" spans="1:11" ht="20.100000000000001" customHeight="1" x14ac:dyDescent="0.25">
      <c r="A747" s="69"/>
      <c r="B747" s="45" t="s">
        <v>66</v>
      </c>
      <c r="C747" s="63"/>
      <c r="D747" s="83"/>
      <c r="E747" s="46" t="str">
        <f>IF(AND(C747="",D747=""),"",C747-D747)</f>
        <v/>
      </c>
      <c r="F747" s="13"/>
      <c r="G747" s="13"/>
      <c r="H747" s="13"/>
      <c r="I747" s="13"/>
      <c r="J747" s="13"/>
      <c r="K747" s="13"/>
    </row>
    <row r="748" spans="1:11" ht="20.100000000000001" customHeight="1" x14ac:dyDescent="0.25">
      <c r="A748" s="69"/>
      <c r="B748" s="43" t="s">
        <v>67</v>
      </c>
      <c r="C748" s="63"/>
      <c r="D748" s="83"/>
      <c r="E748" s="44" t="str">
        <f>IF(AND(C748="",D748=""),"",C748-D748)</f>
        <v/>
      </c>
      <c r="F748" s="13"/>
      <c r="G748" s="13"/>
      <c r="H748" s="13"/>
      <c r="I748" s="13"/>
      <c r="J748" s="13"/>
      <c r="K748" s="13"/>
    </row>
    <row r="749" spans="1:11" ht="20.100000000000001" customHeight="1" x14ac:dyDescent="0.25">
      <c r="A749" s="69"/>
      <c r="B749" s="51" t="s">
        <v>68</v>
      </c>
      <c r="C749" s="52"/>
      <c r="D749" s="75"/>
      <c r="E749" s="52"/>
      <c r="F749" s="13"/>
      <c r="G749" s="13"/>
      <c r="H749" s="13"/>
      <c r="I749" s="13"/>
      <c r="J749" s="13"/>
      <c r="K749" s="13"/>
    </row>
    <row r="750" spans="1:11" ht="20.100000000000001" customHeight="1" x14ac:dyDescent="0.25">
      <c r="A750" s="69"/>
      <c r="B750" s="43" t="s">
        <v>69</v>
      </c>
      <c r="C750" s="63"/>
      <c r="D750" s="83"/>
      <c r="E750" s="44" t="str">
        <f>IF(AND(C750="",D750=""),"",C750-D750)</f>
        <v/>
      </c>
      <c r="F750" s="13"/>
      <c r="G750" s="13"/>
      <c r="H750" s="13"/>
      <c r="I750" s="13"/>
      <c r="J750" s="13"/>
      <c r="K750" s="13"/>
    </row>
    <row r="751" spans="1:11" ht="20.100000000000001" customHeight="1" x14ac:dyDescent="0.25">
      <c r="A751" s="69"/>
      <c r="B751" s="45" t="s">
        <v>70</v>
      </c>
      <c r="C751" s="63"/>
      <c r="D751" s="83"/>
      <c r="E751" s="46" t="str">
        <f>IF(AND(C751="",D751=""),"",C751-D751)</f>
        <v/>
      </c>
      <c r="F751" s="13"/>
      <c r="G751" s="13"/>
      <c r="H751" s="13"/>
      <c r="I751" s="13"/>
      <c r="J751" s="13"/>
      <c r="K751" s="13"/>
    </row>
    <row r="752" spans="1:11" ht="20.100000000000001" customHeight="1" x14ac:dyDescent="0.25">
      <c r="A752" s="69"/>
      <c r="B752" s="43" t="s">
        <v>71</v>
      </c>
      <c r="C752" s="63"/>
      <c r="D752" s="83"/>
      <c r="E752" s="44" t="str">
        <f>IF(AND(C752="",D752=""),"",C752-D752)</f>
        <v/>
      </c>
      <c r="F752" s="13"/>
      <c r="G752" s="13"/>
      <c r="H752" s="13"/>
      <c r="I752" s="13"/>
      <c r="J752" s="13"/>
      <c r="K752" s="13"/>
    </row>
    <row r="753" spans="1:11" ht="20.100000000000001" customHeight="1" x14ac:dyDescent="0.25">
      <c r="A753" s="69"/>
      <c r="B753" s="51" t="s">
        <v>72</v>
      </c>
      <c r="C753" s="52"/>
      <c r="D753" s="75"/>
      <c r="E753" s="52"/>
      <c r="F753" s="13"/>
      <c r="G753" s="13"/>
      <c r="H753" s="13"/>
      <c r="I753" s="13"/>
      <c r="J753" s="13"/>
      <c r="K753" s="13"/>
    </row>
    <row r="754" spans="1:11" ht="20.100000000000001" customHeight="1" x14ac:dyDescent="0.25">
      <c r="A754" s="69"/>
      <c r="B754" s="43" t="s">
        <v>73</v>
      </c>
      <c r="C754" s="63"/>
      <c r="D754" s="83"/>
      <c r="E754" s="44" t="str">
        <f>IF(AND(C754="",D754=""),"",C754-D754)</f>
        <v/>
      </c>
      <c r="F754" s="13"/>
      <c r="G754" s="13"/>
      <c r="H754" s="13"/>
      <c r="I754" s="13"/>
      <c r="J754" s="13"/>
      <c r="K754" s="13"/>
    </row>
    <row r="755" spans="1:11" ht="20.100000000000001" customHeight="1" x14ac:dyDescent="0.25">
      <c r="A755" s="69"/>
      <c r="B755" s="45" t="s">
        <v>74</v>
      </c>
      <c r="C755" s="63"/>
      <c r="D755" s="83"/>
      <c r="E755" s="46" t="str">
        <f>IF(AND(C755="",D755=""),"",C755-D755)</f>
        <v/>
      </c>
      <c r="F755" s="13"/>
      <c r="G755" s="13"/>
      <c r="H755" s="13"/>
      <c r="I755" s="13"/>
      <c r="J755" s="13"/>
      <c r="K755" s="13"/>
    </row>
    <row r="756" spans="1:11" ht="20.100000000000001" customHeight="1" x14ac:dyDescent="0.25">
      <c r="A756" s="69"/>
      <c r="B756" s="43" t="s">
        <v>75</v>
      </c>
      <c r="C756" s="63"/>
      <c r="D756" s="83"/>
      <c r="E756" s="44" t="str">
        <f>IF(AND(C756="",D756=""),"",C756-D756)</f>
        <v/>
      </c>
      <c r="F756" s="13"/>
      <c r="G756" s="13"/>
      <c r="H756" s="13"/>
      <c r="I756" s="13"/>
      <c r="J756" s="13"/>
      <c r="K756" s="13"/>
    </row>
    <row r="757" spans="1:11" ht="20.100000000000001" customHeight="1" x14ac:dyDescent="0.25">
      <c r="A757" s="69"/>
      <c r="B757" s="51" t="s">
        <v>76</v>
      </c>
      <c r="C757" s="52"/>
      <c r="D757" s="75"/>
      <c r="E757" s="52"/>
      <c r="F757" s="13"/>
      <c r="G757" s="13"/>
      <c r="H757" s="13"/>
      <c r="I757" s="13"/>
      <c r="J757" s="13"/>
      <c r="K757" s="13"/>
    </row>
    <row r="758" spans="1:11" ht="20.100000000000001" customHeight="1" x14ac:dyDescent="0.25">
      <c r="A758" s="69"/>
      <c r="B758" s="43" t="s">
        <v>77</v>
      </c>
      <c r="C758" s="63"/>
      <c r="D758" s="83"/>
      <c r="E758" s="44" t="str">
        <f>IF(AND(C758="",D758=""),"",C758-D758)</f>
        <v/>
      </c>
      <c r="F758" s="13"/>
      <c r="G758" s="13"/>
      <c r="H758" s="13"/>
      <c r="I758" s="13"/>
      <c r="J758" s="13"/>
      <c r="K758" s="13"/>
    </row>
    <row r="759" spans="1:11" ht="20.100000000000001" customHeight="1" x14ac:dyDescent="0.25">
      <c r="A759" s="69"/>
      <c r="B759" s="45" t="s">
        <v>78</v>
      </c>
      <c r="C759" s="63"/>
      <c r="D759" s="83"/>
      <c r="E759" s="46" t="str">
        <f>IF(AND(C759="",D759=""),"",C759-D759)</f>
        <v/>
      </c>
      <c r="F759" s="13"/>
      <c r="G759" s="13"/>
      <c r="H759" s="13"/>
      <c r="I759" s="13"/>
      <c r="J759" s="13"/>
      <c r="K759" s="13"/>
    </row>
    <row r="760" spans="1:11" ht="20.100000000000001" customHeight="1" x14ac:dyDescent="0.25">
      <c r="A760" s="69"/>
      <c r="B760" s="43" t="s">
        <v>79</v>
      </c>
      <c r="C760" s="63"/>
      <c r="D760" s="83"/>
      <c r="E760" s="65" t="str">
        <f>IF(AND(C760="",D760=""),"",C760-D760)</f>
        <v/>
      </c>
      <c r="F760" s="13"/>
      <c r="G760" s="13"/>
      <c r="H760" s="13"/>
      <c r="I760" s="13"/>
      <c r="J760" s="13"/>
      <c r="K760" s="13"/>
    </row>
    <row r="761" spans="1:11" ht="24" customHeight="1" x14ac:dyDescent="0.25">
      <c r="A761" s="69"/>
      <c r="B761" s="53" t="s">
        <v>80</v>
      </c>
      <c r="C761" s="54">
        <f>C715+C716+C717+C718+C719+C721+C722+C723+C724+C725+C727+C728+C729+C731+C732+C733+C734+C735+C737+C738+C739+C740+C742+C743+C744+C746+C747+C748+C750+C751+C752+C754+C755+C756+C758+C759+C760</f>
        <v>0</v>
      </c>
      <c r="D761" s="64">
        <f>D715+D716+D717+D718+D719+D721+D722+D723+D724+D725+D727+D728+D729+D731+D732+D733+D734+D735+D737+D738+D739+D740+D742+D743+D744+D746+D747+D748+D750+D751+D752+D754+D755+D756+D758+D759+D760</f>
        <v>0</v>
      </c>
      <c r="E761" s="103">
        <f>C761-D761</f>
        <v>0</v>
      </c>
      <c r="F761" s="13"/>
      <c r="G761" s="13"/>
      <c r="H761" s="13"/>
      <c r="I761" s="13"/>
      <c r="J761" s="13"/>
      <c r="K761" s="13"/>
    </row>
    <row r="762" spans="1:11" ht="6" customHeight="1" x14ac:dyDescent="0.25">
      <c r="A762" s="69"/>
      <c r="B762" s="68"/>
      <c r="C762" s="68"/>
      <c r="D762" s="68"/>
      <c r="E762" s="76"/>
      <c r="F762" s="13"/>
      <c r="G762" s="13"/>
      <c r="H762" s="13"/>
      <c r="I762" s="13"/>
      <c r="J762" s="13"/>
      <c r="K762" s="13"/>
    </row>
    <row r="763" spans="1:11" ht="24" customHeight="1" x14ac:dyDescent="0.25">
      <c r="A763" s="69"/>
      <c r="B763" s="55" t="s">
        <v>104</v>
      </c>
      <c r="C763" s="39"/>
      <c r="D763" s="70"/>
      <c r="E763" s="39"/>
      <c r="F763" s="13"/>
      <c r="G763" s="13"/>
      <c r="H763" s="13"/>
      <c r="I763" s="13"/>
      <c r="J763" s="13"/>
      <c r="K763" s="13"/>
    </row>
    <row r="764" spans="1:11" ht="21.95" customHeight="1" x14ac:dyDescent="0.25">
      <c r="A764" s="69"/>
      <c r="B764" s="56" t="s">
        <v>82</v>
      </c>
      <c r="C764" s="57">
        <f>C710</f>
        <v>0</v>
      </c>
      <c r="D764" s="84">
        <f>D710</f>
        <v>0</v>
      </c>
      <c r="E764" s="58"/>
      <c r="F764" s="13"/>
      <c r="G764" s="13"/>
      <c r="H764" s="13"/>
      <c r="I764" s="13"/>
      <c r="J764" s="13"/>
      <c r="K764" s="13"/>
    </row>
    <row r="765" spans="1:11" ht="21.95" customHeight="1" x14ac:dyDescent="0.25">
      <c r="A765" s="69"/>
      <c r="B765" s="56" t="s">
        <v>83</v>
      </c>
      <c r="C765" s="57">
        <f>C761</f>
        <v>0</v>
      </c>
      <c r="D765" s="84">
        <f>D761</f>
        <v>0</v>
      </c>
      <c r="E765" s="58"/>
      <c r="F765" s="13"/>
      <c r="G765" s="13"/>
      <c r="H765" s="13"/>
      <c r="I765" s="13"/>
      <c r="J765" s="13"/>
      <c r="K765" s="13"/>
    </row>
    <row r="766" spans="1:11" ht="21.95" customHeight="1" x14ac:dyDescent="0.25">
      <c r="A766" s="69"/>
      <c r="B766" s="59" t="s">
        <v>84</v>
      </c>
      <c r="C766" s="60">
        <f>C764-C765</f>
        <v>0</v>
      </c>
      <c r="D766" s="85">
        <f>D710-D761</f>
        <v>0</v>
      </c>
      <c r="E766" s="61"/>
      <c r="F766" s="13"/>
      <c r="G766" s="13"/>
      <c r="H766" s="13"/>
      <c r="I766" s="13"/>
      <c r="J766" s="13"/>
      <c r="K766" s="13"/>
    </row>
    <row r="767" spans="1:11" ht="21.95" customHeight="1" x14ac:dyDescent="0.25">
      <c r="A767" s="69"/>
      <c r="B767" s="78" t="s">
        <v>5</v>
      </c>
      <c r="C767" s="79" t="str">
        <f>IF(C764=0,"",1-C765/C764)</f>
        <v/>
      </c>
      <c r="D767" s="86" t="str">
        <f>IF(D710=0,"",1-D761/D710)</f>
        <v/>
      </c>
      <c r="E767" s="87"/>
      <c r="F767" s="13"/>
      <c r="G767" s="13"/>
      <c r="H767" s="13"/>
      <c r="I767" s="13"/>
      <c r="J767" s="13"/>
      <c r="K767" s="13"/>
    </row>
    <row r="768" spans="1:11" ht="6" customHeight="1" x14ac:dyDescent="0.25">
      <c r="A768" s="69"/>
      <c r="B768" s="69"/>
      <c r="C768" s="69"/>
      <c r="D768" s="69"/>
      <c r="E768" s="77"/>
      <c r="F768" s="13"/>
      <c r="G768" s="13"/>
      <c r="H768" s="13"/>
      <c r="I768" s="13"/>
      <c r="J768" s="13"/>
      <c r="K768" s="13"/>
    </row>
    <row r="769" spans="1:11" ht="6" customHeight="1" x14ac:dyDescent="0.25">
      <c r="A769" s="69"/>
      <c r="B769" s="69"/>
      <c r="C769" s="69"/>
      <c r="D769" s="69"/>
      <c r="E769" s="77"/>
      <c r="F769" s="13"/>
      <c r="G769" s="13"/>
      <c r="H769" s="13"/>
      <c r="I769" s="13"/>
      <c r="J769" s="13"/>
      <c r="K769" s="13"/>
    </row>
    <row r="770" spans="1:11" ht="6" customHeight="1" x14ac:dyDescent="0.25">
      <c r="A770" s="69"/>
      <c r="B770" s="69"/>
      <c r="C770" s="69"/>
      <c r="D770" s="69"/>
      <c r="E770" s="77"/>
      <c r="F770" s="13"/>
      <c r="G770" s="13"/>
      <c r="H770" s="13"/>
      <c r="I770" s="13"/>
      <c r="J770" s="13"/>
      <c r="K770" s="13"/>
    </row>
    <row r="771" spans="1:11" ht="32.1" customHeight="1" x14ac:dyDescent="0.25">
      <c r="A771" s="69"/>
      <c r="B771" s="80" t="s">
        <v>105</v>
      </c>
      <c r="C771" s="81"/>
      <c r="D771" s="82"/>
      <c r="E771" s="81"/>
      <c r="F771" s="13"/>
      <c r="G771" s="13"/>
      <c r="H771" s="13"/>
      <c r="I771" s="13"/>
      <c r="J771" s="13"/>
      <c r="K771" s="13"/>
    </row>
    <row r="772" spans="1:11" ht="6" customHeight="1" x14ac:dyDescent="0.25">
      <c r="A772" s="69"/>
      <c r="B772" s="37"/>
      <c r="C772" s="37"/>
      <c r="D772" s="37"/>
      <c r="E772" s="66"/>
      <c r="F772" s="13"/>
      <c r="G772" s="13"/>
      <c r="H772" s="13"/>
      <c r="I772" s="13"/>
      <c r="J772" s="13"/>
      <c r="K772" s="13"/>
    </row>
    <row r="773" spans="1:11" ht="24" customHeight="1" x14ac:dyDescent="0.25">
      <c r="A773" s="69"/>
      <c r="B773" s="40" t="s">
        <v>22</v>
      </c>
      <c r="C773" s="41"/>
      <c r="D773" s="71"/>
      <c r="E773" s="41"/>
      <c r="F773" s="13"/>
      <c r="G773" s="13"/>
      <c r="H773" s="13"/>
      <c r="I773" s="13"/>
      <c r="J773" s="13"/>
      <c r="K773" s="13"/>
    </row>
    <row r="774" spans="1:11" ht="21.95" customHeight="1" x14ac:dyDescent="0.25">
      <c r="A774" s="69"/>
      <c r="B774" s="42" t="s">
        <v>20</v>
      </c>
      <c r="C774" s="42" t="s">
        <v>23</v>
      </c>
      <c r="D774" s="72" t="s">
        <v>24</v>
      </c>
      <c r="E774" s="42" t="s">
        <v>25</v>
      </c>
      <c r="F774" s="13"/>
      <c r="G774" s="13"/>
      <c r="H774" s="13"/>
      <c r="I774" s="13"/>
      <c r="J774" s="13"/>
      <c r="K774" s="13"/>
    </row>
    <row r="775" spans="1:11" ht="20.100000000000001" customHeight="1" x14ac:dyDescent="0.25">
      <c r="A775" s="69"/>
      <c r="B775" s="43" t="s">
        <v>26</v>
      </c>
      <c r="C775" s="63"/>
      <c r="D775" s="83"/>
      <c r="E775" s="44" t="str">
        <f>IF(AND(C775="",D775=""),"",D775-C775)</f>
        <v/>
      </c>
      <c r="F775" s="13"/>
      <c r="G775" s="13"/>
      <c r="H775" s="13"/>
      <c r="I775" s="13"/>
      <c r="J775" s="13"/>
      <c r="K775" s="13"/>
    </row>
    <row r="776" spans="1:11" ht="20.100000000000001" customHeight="1" x14ac:dyDescent="0.25">
      <c r="A776" s="69"/>
      <c r="B776" s="45" t="s">
        <v>27</v>
      </c>
      <c r="C776" s="63"/>
      <c r="D776" s="83"/>
      <c r="E776" s="46" t="str">
        <f>IF(AND(C776="",D776=""),"",D776-C776)</f>
        <v/>
      </c>
      <c r="F776" s="13"/>
      <c r="G776" s="13"/>
      <c r="H776" s="13"/>
      <c r="I776" s="13"/>
      <c r="J776" s="13"/>
      <c r="K776" s="13"/>
    </row>
    <row r="777" spans="1:11" ht="20.100000000000001" customHeight="1" x14ac:dyDescent="0.25">
      <c r="A777" s="69"/>
      <c r="B777" s="43" t="s">
        <v>28</v>
      </c>
      <c r="C777" s="63"/>
      <c r="D777" s="83"/>
      <c r="E777" s="44" t="str">
        <f>IF(AND(C777="",D777=""),"",D777-C777)</f>
        <v/>
      </c>
      <c r="F777" s="13"/>
      <c r="G777" s="13"/>
      <c r="H777" s="13"/>
      <c r="I777" s="13"/>
      <c r="J777" s="13"/>
      <c r="K777" s="13"/>
    </row>
    <row r="778" spans="1:11" ht="20.100000000000001" customHeight="1" x14ac:dyDescent="0.25">
      <c r="A778" s="69"/>
      <c r="B778" s="45" t="s">
        <v>29</v>
      </c>
      <c r="C778" s="63"/>
      <c r="D778" s="83"/>
      <c r="E778" s="46" t="str">
        <f>IF(AND(C778="",D778=""),"",D778-C778)</f>
        <v/>
      </c>
      <c r="F778" s="13"/>
      <c r="G778" s="13"/>
      <c r="H778" s="13"/>
      <c r="I778" s="13"/>
      <c r="J778" s="13"/>
      <c r="K778" s="13"/>
    </row>
    <row r="779" spans="1:11" ht="20.100000000000001" customHeight="1" x14ac:dyDescent="0.25">
      <c r="A779" s="69"/>
      <c r="B779" s="43" t="s">
        <v>30</v>
      </c>
      <c r="C779" s="63"/>
      <c r="D779" s="83"/>
      <c r="E779" s="44" t="str">
        <f>IF(AND(C779="",D779=""),"",D779-C779)</f>
        <v/>
      </c>
      <c r="F779" s="13"/>
      <c r="G779" s="13"/>
      <c r="H779" s="13"/>
      <c r="I779" s="13"/>
      <c r="J779" s="13"/>
      <c r="K779" s="13"/>
    </row>
    <row r="780" spans="1:11" ht="24" customHeight="1" x14ac:dyDescent="0.25">
      <c r="A780" s="69"/>
      <c r="B780" s="47" t="s">
        <v>31</v>
      </c>
      <c r="C780" s="48">
        <f>SUM(C775:C779)</f>
        <v>0</v>
      </c>
      <c r="D780" s="73">
        <f>SUM(D775:D779)</f>
        <v>0</v>
      </c>
      <c r="E780" s="48">
        <f>D780-C780</f>
        <v>0</v>
      </c>
      <c r="F780" s="13"/>
      <c r="G780" s="13"/>
      <c r="H780" s="13"/>
      <c r="I780" s="13"/>
      <c r="J780" s="13"/>
      <c r="K780" s="13"/>
    </row>
    <row r="781" spans="1:11" ht="6" customHeight="1" x14ac:dyDescent="0.25">
      <c r="A781" s="69"/>
      <c r="B781" s="68"/>
      <c r="C781" s="68"/>
      <c r="D781" s="68"/>
      <c r="E781" s="76"/>
      <c r="F781" s="13"/>
      <c r="G781" s="13"/>
      <c r="H781" s="13"/>
      <c r="I781" s="13"/>
      <c r="J781" s="13"/>
      <c r="K781" s="13"/>
    </row>
    <row r="782" spans="1:11" ht="24" customHeight="1" x14ac:dyDescent="0.25">
      <c r="A782" s="69"/>
      <c r="B782" s="49" t="s">
        <v>32</v>
      </c>
      <c r="C782" s="50"/>
      <c r="D782" s="74"/>
      <c r="E782" s="50"/>
      <c r="F782" s="13"/>
      <c r="G782" s="13"/>
      <c r="H782" s="13"/>
      <c r="I782" s="13"/>
      <c r="J782" s="13"/>
      <c r="K782" s="13"/>
    </row>
    <row r="783" spans="1:11" ht="21.95" customHeight="1" x14ac:dyDescent="0.25">
      <c r="A783" s="69"/>
      <c r="B783" s="42" t="s">
        <v>20</v>
      </c>
      <c r="C783" s="42" t="s">
        <v>23</v>
      </c>
      <c r="D783" s="72" t="s">
        <v>24</v>
      </c>
      <c r="E783" s="42" t="s">
        <v>25</v>
      </c>
      <c r="F783" s="13"/>
      <c r="G783" s="13"/>
      <c r="H783" s="13"/>
      <c r="I783" s="13"/>
      <c r="J783" s="13"/>
      <c r="K783" s="13"/>
    </row>
    <row r="784" spans="1:11" ht="20.100000000000001" customHeight="1" x14ac:dyDescent="0.25">
      <c r="A784" s="69"/>
      <c r="B784" s="51" t="s">
        <v>33</v>
      </c>
      <c r="C784" s="52"/>
      <c r="D784" s="75"/>
      <c r="E784" s="52"/>
      <c r="F784" s="13"/>
      <c r="G784" s="13"/>
      <c r="H784" s="13"/>
      <c r="I784" s="13"/>
      <c r="J784" s="13"/>
      <c r="K784" s="13"/>
    </row>
    <row r="785" spans="1:11" ht="20.100000000000001" customHeight="1" x14ac:dyDescent="0.25">
      <c r="A785" s="69"/>
      <c r="B785" s="43" t="s">
        <v>34</v>
      </c>
      <c r="C785" s="63"/>
      <c r="D785" s="83"/>
      <c r="E785" s="44" t="str">
        <f>IF(AND(C785="",D785=""),"",C785-D785)</f>
        <v/>
      </c>
      <c r="F785" s="13"/>
      <c r="G785" s="13"/>
      <c r="H785" s="13"/>
      <c r="I785" s="13"/>
      <c r="J785" s="13"/>
      <c r="K785" s="13"/>
    </row>
    <row r="786" spans="1:11" ht="20.100000000000001" customHeight="1" x14ac:dyDescent="0.25">
      <c r="A786" s="69"/>
      <c r="B786" s="45" t="s">
        <v>35</v>
      </c>
      <c r="C786" s="63"/>
      <c r="D786" s="83"/>
      <c r="E786" s="46" t="str">
        <f>IF(AND(C786="",D786=""),"",C786-D786)</f>
        <v/>
      </c>
      <c r="F786" s="13"/>
      <c r="G786" s="13"/>
      <c r="H786" s="13"/>
      <c r="I786" s="13"/>
      <c r="J786" s="13"/>
      <c r="K786" s="13"/>
    </row>
    <row r="787" spans="1:11" ht="20.100000000000001" customHeight="1" x14ac:dyDescent="0.25">
      <c r="A787" s="69"/>
      <c r="B787" s="43" t="s">
        <v>36</v>
      </c>
      <c r="C787" s="63"/>
      <c r="D787" s="83"/>
      <c r="E787" s="44" t="str">
        <f>IF(AND(C787="",D787=""),"",C787-D787)</f>
        <v/>
      </c>
      <c r="F787" s="13"/>
      <c r="G787" s="13"/>
      <c r="H787" s="13"/>
      <c r="I787" s="13"/>
      <c r="J787" s="13"/>
      <c r="K787" s="13"/>
    </row>
    <row r="788" spans="1:11" ht="20.100000000000001" customHeight="1" x14ac:dyDescent="0.25">
      <c r="A788" s="69"/>
      <c r="B788" s="45" t="s">
        <v>37</v>
      </c>
      <c r="C788" s="63"/>
      <c r="D788" s="83"/>
      <c r="E788" s="46" t="str">
        <f>IF(AND(C788="",D788=""),"",C788-D788)</f>
        <v/>
      </c>
      <c r="F788" s="13"/>
      <c r="G788" s="13"/>
      <c r="H788" s="13"/>
      <c r="I788" s="13"/>
      <c r="J788" s="13"/>
      <c r="K788" s="13"/>
    </row>
    <row r="789" spans="1:11" ht="20.100000000000001" customHeight="1" x14ac:dyDescent="0.25">
      <c r="A789" s="69"/>
      <c r="B789" s="43" t="s">
        <v>38</v>
      </c>
      <c r="C789" s="63"/>
      <c r="D789" s="83"/>
      <c r="E789" s="44" t="str">
        <f>IF(AND(C789="",D789=""),"",C789-D789)</f>
        <v/>
      </c>
      <c r="F789" s="13"/>
      <c r="G789" s="13"/>
      <c r="H789" s="13"/>
      <c r="I789" s="13"/>
      <c r="J789" s="13"/>
      <c r="K789" s="13"/>
    </row>
    <row r="790" spans="1:11" ht="20.100000000000001" customHeight="1" x14ac:dyDescent="0.25">
      <c r="A790" s="69"/>
      <c r="B790" s="51" t="s">
        <v>39</v>
      </c>
      <c r="C790" s="52"/>
      <c r="D790" s="75"/>
      <c r="E790" s="52"/>
      <c r="F790" s="13"/>
      <c r="G790" s="13"/>
      <c r="H790" s="13"/>
      <c r="I790" s="13"/>
      <c r="J790" s="13"/>
      <c r="K790" s="13"/>
    </row>
    <row r="791" spans="1:11" ht="20.100000000000001" customHeight="1" x14ac:dyDescent="0.25">
      <c r="A791" s="69"/>
      <c r="B791" s="43" t="s">
        <v>40</v>
      </c>
      <c r="C791" s="63"/>
      <c r="D791" s="83"/>
      <c r="E791" s="44" t="str">
        <f>IF(AND(C791="",D791=""),"",C791-D791)</f>
        <v/>
      </c>
      <c r="F791" s="13"/>
      <c r="G791" s="13"/>
      <c r="H791" s="13"/>
      <c r="I791" s="13"/>
      <c r="J791" s="13"/>
      <c r="K791" s="13"/>
    </row>
    <row r="792" spans="1:11" ht="20.100000000000001" customHeight="1" x14ac:dyDescent="0.25">
      <c r="A792" s="69"/>
      <c r="B792" s="45" t="s">
        <v>41</v>
      </c>
      <c r="C792" s="63"/>
      <c r="D792" s="83"/>
      <c r="E792" s="46" t="str">
        <f>IF(AND(C792="",D792=""),"",C792-D792)</f>
        <v/>
      </c>
      <c r="F792" s="13"/>
      <c r="G792" s="13"/>
      <c r="H792" s="13"/>
      <c r="I792" s="13"/>
      <c r="J792" s="13"/>
      <c r="K792" s="13"/>
    </row>
    <row r="793" spans="1:11" ht="20.100000000000001" customHeight="1" x14ac:dyDescent="0.25">
      <c r="A793" s="69"/>
      <c r="B793" s="43" t="s">
        <v>42</v>
      </c>
      <c r="C793" s="63"/>
      <c r="D793" s="83"/>
      <c r="E793" s="44" t="str">
        <f>IF(AND(C793="",D793=""),"",C793-D793)</f>
        <v/>
      </c>
      <c r="F793" s="13"/>
      <c r="G793" s="13"/>
      <c r="H793" s="13"/>
      <c r="I793" s="13"/>
      <c r="J793" s="13"/>
      <c r="K793" s="13"/>
    </row>
    <row r="794" spans="1:11" ht="20.100000000000001" customHeight="1" x14ac:dyDescent="0.25">
      <c r="A794" s="69"/>
      <c r="B794" s="45" t="s">
        <v>43</v>
      </c>
      <c r="C794" s="63"/>
      <c r="D794" s="83"/>
      <c r="E794" s="46" t="str">
        <f>IF(AND(C794="",D794=""),"",C794-D794)</f>
        <v/>
      </c>
      <c r="F794" s="13"/>
      <c r="G794" s="13"/>
      <c r="H794" s="13"/>
      <c r="I794" s="13"/>
      <c r="J794" s="13"/>
      <c r="K794" s="13"/>
    </row>
    <row r="795" spans="1:11" ht="20.100000000000001" customHeight="1" x14ac:dyDescent="0.25">
      <c r="A795" s="69"/>
      <c r="B795" s="43" t="s">
        <v>44</v>
      </c>
      <c r="C795" s="63"/>
      <c r="D795" s="83"/>
      <c r="E795" s="44" t="str">
        <f>IF(AND(C795="",D795=""),"",C795-D795)</f>
        <v/>
      </c>
      <c r="F795" s="13"/>
      <c r="G795" s="13"/>
      <c r="H795" s="13"/>
      <c r="I795" s="13"/>
      <c r="J795" s="13"/>
      <c r="K795" s="13"/>
    </row>
    <row r="796" spans="1:11" ht="20.100000000000001" customHeight="1" x14ac:dyDescent="0.25">
      <c r="A796" s="69"/>
      <c r="B796" s="51" t="s">
        <v>45</v>
      </c>
      <c r="C796" s="52"/>
      <c r="D796" s="75"/>
      <c r="E796" s="52"/>
      <c r="F796" s="13"/>
      <c r="G796" s="13"/>
      <c r="H796" s="13"/>
      <c r="I796" s="13"/>
      <c r="J796" s="13"/>
      <c r="K796" s="13"/>
    </row>
    <row r="797" spans="1:11" ht="20.100000000000001" customHeight="1" x14ac:dyDescent="0.25">
      <c r="A797" s="69"/>
      <c r="B797" s="43" t="s">
        <v>46</v>
      </c>
      <c r="C797" s="63"/>
      <c r="D797" s="83"/>
      <c r="E797" s="44" t="str">
        <f>IF(AND(C797="",D797=""),"",C797-D797)</f>
        <v/>
      </c>
      <c r="F797" s="13"/>
      <c r="G797" s="13"/>
      <c r="H797" s="13"/>
      <c r="I797" s="13"/>
      <c r="J797" s="13"/>
      <c r="K797" s="13"/>
    </row>
    <row r="798" spans="1:11" ht="20.100000000000001" customHeight="1" x14ac:dyDescent="0.25">
      <c r="A798" s="69"/>
      <c r="B798" s="45" t="s">
        <v>47</v>
      </c>
      <c r="C798" s="63"/>
      <c r="D798" s="83"/>
      <c r="E798" s="46" t="str">
        <f>IF(AND(C798="",D798=""),"",C798-D798)</f>
        <v/>
      </c>
      <c r="F798" s="13"/>
      <c r="G798" s="13"/>
      <c r="H798" s="13"/>
      <c r="I798" s="13"/>
      <c r="J798" s="13"/>
      <c r="K798" s="13"/>
    </row>
    <row r="799" spans="1:11" ht="20.100000000000001" customHeight="1" x14ac:dyDescent="0.25">
      <c r="A799" s="69"/>
      <c r="B799" s="43" t="s">
        <v>48</v>
      </c>
      <c r="C799" s="63"/>
      <c r="D799" s="83"/>
      <c r="E799" s="44" t="str">
        <f>IF(AND(C799="",D799=""),"",C799-D799)</f>
        <v/>
      </c>
      <c r="F799" s="13"/>
      <c r="G799" s="13"/>
      <c r="H799" s="13"/>
      <c r="I799" s="13"/>
      <c r="J799" s="13"/>
      <c r="K799" s="13"/>
    </row>
    <row r="800" spans="1:11" ht="20.100000000000001" customHeight="1" x14ac:dyDescent="0.25">
      <c r="A800" s="69"/>
      <c r="B800" s="51" t="s">
        <v>49</v>
      </c>
      <c r="C800" s="52"/>
      <c r="D800" s="75"/>
      <c r="E800" s="52"/>
      <c r="F800" s="13"/>
      <c r="G800" s="13"/>
      <c r="H800" s="13"/>
      <c r="I800" s="13"/>
      <c r="J800" s="13"/>
      <c r="K800" s="13"/>
    </row>
    <row r="801" spans="1:11" ht="20.100000000000001" customHeight="1" x14ac:dyDescent="0.25">
      <c r="A801" s="69"/>
      <c r="B801" s="43" t="s">
        <v>50</v>
      </c>
      <c r="C801" s="63"/>
      <c r="D801" s="83"/>
      <c r="E801" s="44" t="str">
        <f>IF(AND(C801="",D801=""),"",C801-D801)</f>
        <v/>
      </c>
      <c r="F801" s="13"/>
      <c r="G801" s="13"/>
      <c r="H801" s="13"/>
      <c r="I801" s="13"/>
      <c r="J801" s="13"/>
      <c r="K801" s="13"/>
    </row>
    <row r="802" spans="1:11" ht="20.100000000000001" customHeight="1" x14ac:dyDescent="0.25">
      <c r="A802" s="69"/>
      <c r="B802" s="45" t="s">
        <v>51</v>
      </c>
      <c r="C802" s="63"/>
      <c r="D802" s="83"/>
      <c r="E802" s="46" t="str">
        <f>IF(AND(C802="",D802=""),"",C802-D802)</f>
        <v/>
      </c>
      <c r="F802" s="13"/>
      <c r="G802" s="13"/>
      <c r="H802" s="13"/>
      <c r="I802" s="13"/>
      <c r="J802" s="13"/>
      <c r="K802" s="13"/>
    </row>
    <row r="803" spans="1:11" ht="20.100000000000001" customHeight="1" x14ac:dyDescent="0.25">
      <c r="A803" s="69"/>
      <c r="B803" s="43" t="s">
        <v>52</v>
      </c>
      <c r="C803" s="63"/>
      <c r="D803" s="83"/>
      <c r="E803" s="44" t="str">
        <f>IF(AND(C803="",D803=""),"",C803-D803)</f>
        <v/>
      </c>
      <c r="F803" s="13"/>
      <c r="G803" s="13"/>
      <c r="H803" s="13"/>
      <c r="I803" s="13"/>
      <c r="J803" s="13"/>
      <c r="K803" s="13"/>
    </row>
    <row r="804" spans="1:11" ht="20.100000000000001" customHeight="1" x14ac:dyDescent="0.25">
      <c r="A804" s="69"/>
      <c r="B804" s="45" t="s">
        <v>53</v>
      </c>
      <c r="C804" s="63"/>
      <c r="D804" s="83"/>
      <c r="E804" s="46" t="str">
        <f>IF(AND(C804="",D804=""),"",C804-D804)</f>
        <v/>
      </c>
      <c r="F804" s="13"/>
      <c r="G804" s="13"/>
      <c r="H804" s="13"/>
      <c r="I804" s="13"/>
      <c r="J804" s="13"/>
      <c r="K804" s="13"/>
    </row>
    <row r="805" spans="1:11" ht="20.100000000000001" customHeight="1" x14ac:dyDescent="0.25">
      <c r="A805" s="69"/>
      <c r="B805" s="43" t="s">
        <v>54</v>
      </c>
      <c r="C805" s="63"/>
      <c r="D805" s="83"/>
      <c r="E805" s="44" t="str">
        <f>IF(AND(C805="",D805=""),"",C805-D805)</f>
        <v/>
      </c>
      <c r="F805" s="13"/>
      <c r="G805" s="13"/>
      <c r="H805" s="13"/>
      <c r="I805" s="13"/>
      <c r="J805" s="13"/>
      <c r="K805" s="13"/>
    </row>
    <row r="806" spans="1:11" ht="20.100000000000001" customHeight="1" x14ac:dyDescent="0.25">
      <c r="A806" s="69"/>
      <c r="B806" s="51" t="s">
        <v>55</v>
      </c>
      <c r="C806" s="52"/>
      <c r="D806" s="75"/>
      <c r="E806" s="52"/>
      <c r="F806" s="13"/>
      <c r="G806" s="13"/>
      <c r="H806" s="13"/>
      <c r="I806" s="13"/>
      <c r="J806" s="13"/>
      <c r="K806" s="13"/>
    </row>
    <row r="807" spans="1:11" ht="20.100000000000001" customHeight="1" x14ac:dyDescent="0.25">
      <c r="A807" s="69"/>
      <c r="B807" s="43" t="s">
        <v>56</v>
      </c>
      <c r="C807" s="63"/>
      <c r="D807" s="83"/>
      <c r="E807" s="44" t="str">
        <f>IF(AND(C807="",D807=""),"",C807-D807)</f>
        <v/>
      </c>
      <c r="F807" s="13"/>
      <c r="G807" s="13"/>
      <c r="H807" s="13"/>
      <c r="I807" s="13"/>
      <c r="J807" s="13"/>
      <c r="K807" s="13"/>
    </row>
    <row r="808" spans="1:11" ht="20.100000000000001" customHeight="1" x14ac:dyDescent="0.25">
      <c r="A808" s="69"/>
      <c r="B808" s="45" t="s">
        <v>57</v>
      </c>
      <c r="C808" s="63"/>
      <c r="D808" s="83"/>
      <c r="E808" s="46" t="str">
        <f>IF(AND(C808="",D808=""),"",C808-D808)</f>
        <v/>
      </c>
      <c r="F808" s="13"/>
      <c r="G808" s="13"/>
      <c r="H808" s="13"/>
      <c r="I808" s="13"/>
      <c r="J808" s="13"/>
      <c r="K808" s="13"/>
    </row>
    <row r="809" spans="1:11" ht="20.100000000000001" customHeight="1" x14ac:dyDescent="0.25">
      <c r="A809" s="69"/>
      <c r="B809" s="43" t="s">
        <v>58</v>
      </c>
      <c r="C809" s="63"/>
      <c r="D809" s="83"/>
      <c r="E809" s="44" t="str">
        <f>IF(AND(C809="",D809=""),"",C809-D809)</f>
        <v/>
      </c>
      <c r="F809" s="13"/>
      <c r="G809" s="13"/>
      <c r="H809" s="13"/>
      <c r="I809" s="13"/>
      <c r="J809" s="13"/>
      <c r="K809" s="13"/>
    </row>
    <row r="810" spans="1:11" ht="20.100000000000001" customHeight="1" x14ac:dyDescent="0.25">
      <c r="A810" s="69"/>
      <c r="B810" s="45" t="s">
        <v>59</v>
      </c>
      <c r="C810" s="63"/>
      <c r="D810" s="83"/>
      <c r="E810" s="46" t="str">
        <f>IF(AND(C810="",D810=""),"",C810-D810)</f>
        <v/>
      </c>
      <c r="F810" s="13"/>
      <c r="G810" s="13"/>
      <c r="H810" s="13"/>
      <c r="I810" s="13"/>
      <c r="J810" s="13"/>
      <c r="K810" s="13"/>
    </row>
    <row r="811" spans="1:11" ht="20.100000000000001" customHeight="1" x14ac:dyDescent="0.25">
      <c r="A811" s="69"/>
      <c r="B811" s="51" t="s">
        <v>60</v>
      </c>
      <c r="C811" s="52"/>
      <c r="D811" s="75"/>
      <c r="E811" s="52"/>
      <c r="F811" s="13"/>
      <c r="G811" s="13"/>
      <c r="H811" s="13"/>
      <c r="I811" s="13"/>
      <c r="J811" s="13"/>
      <c r="K811" s="13"/>
    </row>
    <row r="812" spans="1:11" ht="20.100000000000001" customHeight="1" x14ac:dyDescent="0.25">
      <c r="A812" s="69"/>
      <c r="B812" s="43" t="s">
        <v>61</v>
      </c>
      <c r="C812" s="63"/>
      <c r="D812" s="83"/>
      <c r="E812" s="44" t="str">
        <f>IF(AND(C812="",D812=""),"",C812-D812)</f>
        <v/>
      </c>
      <c r="F812" s="13"/>
      <c r="G812" s="13"/>
      <c r="H812" s="13"/>
      <c r="I812" s="13"/>
      <c r="J812" s="13"/>
      <c r="K812" s="13"/>
    </row>
    <row r="813" spans="1:11" ht="20.100000000000001" customHeight="1" x14ac:dyDescent="0.25">
      <c r="A813" s="69"/>
      <c r="B813" s="45" t="s">
        <v>62</v>
      </c>
      <c r="C813" s="63"/>
      <c r="D813" s="83"/>
      <c r="E813" s="46" t="str">
        <f>IF(AND(C813="",D813=""),"",C813-D813)</f>
        <v/>
      </c>
      <c r="F813" s="13"/>
      <c r="G813" s="13"/>
      <c r="H813" s="13"/>
      <c r="I813" s="13"/>
      <c r="J813" s="13"/>
      <c r="K813" s="13"/>
    </row>
    <row r="814" spans="1:11" ht="20.100000000000001" customHeight="1" x14ac:dyDescent="0.25">
      <c r="A814" s="69"/>
      <c r="B814" s="43" t="s">
        <v>63</v>
      </c>
      <c r="C814" s="63"/>
      <c r="D814" s="83"/>
      <c r="E814" s="44" t="str">
        <f>IF(AND(C814="",D814=""),"",C814-D814)</f>
        <v/>
      </c>
      <c r="F814" s="13"/>
      <c r="G814" s="13"/>
      <c r="H814" s="13"/>
      <c r="I814" s="13"/>
      <c r="J814" s="13"/>
      <c r="K814" s="13"/>
    </row>
    <row r="815" spans="1:11" ht="20.100000000000001" customHeight="1" x14ac:dyDescent="0.25">
      <c r="A815" s="69"/>
      <c r="B815" s="51" t="s">
        <v>64</v>
      </c>
      <c r="C815" s="52"/>
      <c r="D815" s="75"/>
      <c r="E815" s="52"/>
      <c r="F815" s="13"/>
      <c r="G815" s="13"/>
      <c r="H815" s="13"/>
      <c r="I815" s="13"/>
      <c r="J815" s="13"/>
      <c r="K815" s="13"/>
    </row>
    <row r="816" spans="1:11" ht="20.100000000000001" customHeight="1" x14ac:dyDescent="0.25">
      <c r="A816" s="69"/>
      <c r="B816" s="43" t="s">
        <v>65</v>
      </c>
      <c r="C816" s="63"/>
      <c r="D816" s="83"/>
      <c r="E816" s="44" t="str">
        <f>IF(AND(C816="",D816=""),"",C816-D816)</f>
        <v/>
      </c>
      <c r="F816" s="13"/>
      <c r="G816" s="13"/>
      <c r="H816" s="13"/>
      <c r="I816" s="13"/>
      <c r="J816" s="13"/>
      <c r="K816" s="13"/>
    </row>
    <row r="817" spans="1:11" ht="20.100000000000001" customHeight="1" x14ac:dyDescent="0.25">
      <c r="A817" s="69"/>
      <c r="B817" s="45" t="s">
        <v>66</v>
      </c>
      <c r="C817" s="63"/>
      <c r="D817" s="83"/>
      <c r="E817" s="46" t="str">
        <f>IF(AND(C817="",D817=""),"",C817-D817)</f>
        <v/>
      </c>
      <c r="F817" s="13"/>
      <c r="G817" s="13"/>
      <c r="H817" s="13"/>
      <c r="I817" s="13"/>
      <c r="J817" s="13"/>
      <c r="K817" s="13"/>
    </row>
    <row r="818" spans="1:11" ht="20.100000000000001" customHeight="1" x14ac:dyDescent="0.25">
      <c r="A818" s="69"/>
      <c r="B818" s="43" t="s">
        <v>67</v>
      </c>
      <c r="C818" s="63"/>
      <c r="D818" s="83"/>
      <c r="E818" s="44" t="str">
        <f>IF(AND(C818="",D818=""),"",C818-D818)</f>
        <v/>
      </c>
      <c r="F818" s="13"/>
      <c r="G818" s="13"/>
      <c r="H818" s="13"/>
      <c r="I818" s="13"/>
      <c r="J818" s="13"/>
      <c r="K818" s="13"/>
    </row>
    <row r="819" spans="1:11" ht="20.100000000000001" customHeight="1" x14ac:dyDescent="0.25">
      <c r="A819" s="69"/>
      <c r="B819" s="51" t="s">
        <v>68</v>
      </c>
      <c r="C819" s="52"/>
      <c r="D819" s="75"/>
      <c r="E819" s="52"/>
      <c r="F819" s="13"/>
      <c r="G819" s="13"/>
      <c r="H819" s="13"/>
      <c r="I819" s="13"/>
      <c r="J819" s="13"/>
      <c r="K819" s="13"/>
    </row>
    <row r="820" spans="1:11" ht="20.100000000000001" customHeight="1" x14ac:dyDescent="0.25">
      <c r="A820" s="69"/>
      <c r="B820" s="43" t="s">
        <v>69</v>
      </c>
      <c r="C820" s="63"/>
      <c r="D820" s="83"/>
      <c r="E820" s="44" t="str">
        <f>IF(AND(C820="",D820=""),"",C820-D820)</f>
        <v/>
      </c>
      <c r="F820" s="13"/>
      <c r="G820" s="13"/>
      <c r="H820" s="13"/>
      <c r="I820" s="13"/>
      <c r="J820" s="13"/>
      <c r="K820" s="13"/>
    </row>
    <row r="821" spans="1:11" ht="20.100000000000001" customHeight="1" x14ac:dyDescent="0.25">
      <c r="A821" s="69"/>
      <c r="B821" s="45" t="s">
        <v>70</v>
      </c>
      <c r="C821" s="63"/>
      <c r="D821" s="83"/>
      <c r="E821" s="46" t="str">
        <f>IF(AND(C821="",D821=""),"",C821-D821)</f>
        <v/>
      </c>
      <c r="F821" s="13"/>
      <c r="G821" s="13"/>
      <c r="H821" s="13"/>
      <c r="I821" s="13"/>
      <c r="J821" s="13"/>
      <c r="K821" s="13"/>
    </row>
    <row r="822" spans="1:11" ht="20.100000000000001" customHeight="1" x14ac:dyDescent="0.25">
      <c r="A822" s="69"/>
      <c r="B822" s="43" t="s">
        <v>71</v>
      </c>
      <c r="C822" s="63"/>
      <c r="D822" s="83"/>
      <c r="E822" s="44" t="str">
        <f>IF(AND(C822="",D822=""),"",C822-D822)</f>
        <v/>
      </c>
      <c r="F822" s="13"/>
      <c r="G822" s="13"/>
      <c r="H822" s="13"/>
      <c r="I822" s="13"/>
      <c r="J822" s="13"/>
      <c r="K822" s="13"/>
    </row>
    <row r="823" spans="1:11" ht="20.100000000000001" customHeight="1" x14ac:dyDescent="0.25">
      <c r="A823" s="69"/>
      <c r="B823" s="51" t="s">
        <v>72</v>
      </c>
      <c r="C823" s="52"/>
      <c r="D823" s="75"/>
      <c r="E823" s="52"/>
      <c r="F823" s="13"/>
      <c r="G823" s="13"/>
      <c r="H823" s="13"/>
      <c r="I823" s="13"/>
      <c r="J823" s="13"/>
      <c r="K823" s="13"/>
    </row>
    <row r="824" spans="1:11" ht="20.100000000000001" customHeight="1" x14ac:dyDescent="0.25">
      <c r="A824" s="69"/>
      <c r="B824" s="43" t="s">
        <v>73</v>
      </c>
      <c r="C824" s="63"/>
      <c r="D824" s="83"/>
      <c r="E824" s="44" t="str">
        <f>IF(AND(C824="",D824=""),"",C824-D824)</f>
        <v/>
      </c>
      <c r="F824" s="13"/>
      <c r="G824" s="13"/>
      <c r="H824" s="13"/>
      <c r="I824" s="13"/>
      <c r="J824" s="13"/>
      <c r="K824" s="13"/>
    </row>
    <row r="825" spans="1:11" ht="20.100000000000001" customHeight="1" x14ac:dyDescent="0.25">
      <c r="A825" s="69"/>
      <c r="B825" s="45" t="s">
        <v>74</v>
      </c>
      <c r="C825" s="63"/>
      <c r="D825" s="83"/>
      <c r="E825" s="46" t="str">
        <f>IF(AND(C825="",D825=""),"",C825-D825)</f>
        <v/>
      </c>
      <c r="F825" s="13"/>
      <c r="G825" s="13"/>
      <c r="H825" s="13"/>
      <c r="I825" s="13"/>
      <c r="J825" s="13"/>
      <c r="K825" s="13"/>
    </row>
    <row r="826" spans="1:11" ht="20.100000000000001" customHeight="1" x14ac:dyDescent="0.25">
      <c r="A826" s="69"/>
      <c r="B826" s="43" t="s">
        <v>75</v>
      </c>
      <c r="C826" s="63"/>
      <c r="D826" s="83"/>
      <c r="E826" s="44" t="str">
        <f>IF(AND(C826="",D826=""),"",C826-D826)</f>
        <v/>
      </c>
      <c r="F826" s="13"/>
      <c r="G826" s="13"/>
      <c r="H826" s="13"/>
      <c r="I826" s="13"/>
      <c r="J826" s="13"/>
      <c r="K826" s="13"/>
    </row>
    <row r="827" spans="1:11" ht="20.100000000000001" customHeight="1" x14ac:dyDescent="0.25">
      <c r="A827" s="69"/>
      <c r="B827" s="51" t="s">
        <v>76</v>
      </c>
      <c r="C827" s="52"/>
      <c r="D827" s="75"/>
      <c r="E827" s="52"/>
      <c r="F827" s="13"/>
      <c r="G827" s="13"/>
      <c r="H827" s="13"/>
      <c r="I827" s="13"/>
      <c r="J827" s="13"/>
      <c r="K827" s="13"/>
    </row>
    <row r="828" spans="1:11" ht="20.100000000000001" customHeight="1" x14ac:dyDescent="0.25">
      <c r="A828" s="69"/>
      <c r="B828" s="43" t="s">
        <v>77</v>
      </c>
      <c r="C828" s="63"/>
      <c r="D828" s="83"/>
      <c r="E828" s="44" t="str">
        <f>IF(AND(C828="",D828=""),"",C828-D828)</f>
        <v/>
      </c>
      <c r="F828" s="13"/>
      <c r="G828" s="13"/>
      <c r="H828" s="13"/>
      <c r="I828" s="13"/>
      <c r="J828" s="13"/>
      <c r="K828" s="13"/>
    </row>
    <row r="829" spans="1:11" ht="20.100000000000001" customHeight="1" x14ac:dyDescent="0.25">
      <c r="A829" s="69"/>
      <c r="B829" s="45" t="s">
        <v>78</v>
      </c>
      <c r="C829" s="63"/>
      <c r="D829" s="83"/>
      <c r="E829" s="46" t="str">
        <f>IF(AND(C829="",D829=""),"",C829-D829)</f>
        <v/>
      </c>
      <c r="F829" s="13"/>
      <c r="G829" s="13"/>
      <c r="H829" s="13"/>
      <c r="I829" s="13"/>
      <c r="J829" s="13"/>
      <c r="K829" s="13"/>
    </row>
    <row r="830" spans="1:11" ht="20.100000000000001" customHeight="1" x14ac:dyDescent="0.25">
      <c r="A830" s="69"/>
      <c r="B830" s="43" t="s">
        <v>79</v>
      </c>
      <c r="C830" s="63"/>
      <c r="D830" s="83"/>
      <c r="E830" s="65" t="str">
        <f>IF(AND(C830="",D830=""),"",C830-D830)</f>
        <v/>
      </c>
      <c r="F830" s="13"/>
      <c r="G830" s="13"/>
      <c r="H830" s="13"/>
      <c r="I830" s="13"/>
      <c r="J830" s="13"/>
      <c r="K830" s="13"/>
    </row>
    <row r="831" spans="1:11" ht="24" customHeight="1" x14ac:dyDescent="0.25">
      <c r="A831" s="69"/>
      <c r="B831" s="53" t="s">
        <v>80</v>
      </c>
      <c r="C831" s="54">
        <f>C785+C786+C787+C788+C789+C791+C792+C793+C794+C795+C797+C798+C799+C801+C802+C803+C804+C805+C807+C808+C809+C810+C812+C813+C814+C816+C817+C818+C820+C821+C822+C824+C825+C826+C828+C829+C830</f>
        <v>0</v>
      </c>
      <c r="D831" s="64">
        <f>D785+D786+D787+D788+D789+D791+D792+D793+D794+D795+D797+D798+D799+D801+D802+D803+D804+D805+D807+D808+D809+D810+D812+D813+D814+D816+D817+D818+D820+D821+D822+D824+D825+D826+D828+D829+D830</f>
        <v>0</v>
      </c>
      <c r="E831" s="103">
        <f>C831-D831</f>
        <v>0</v>
      </c>
      <c r="F831" s="13"/>
      <c r="G831" s="13"/>
      <c r="H831" s="13"/>
      <c r="I831" s="13"/>
      <c r="J831" s="13"/>
      <c r="K831" s="13"/>
    </row>
    <row r="832" spans="1:11" ht="6" customHeight="1" x14ac:dyDescent="0.25">
      <c r="A832" s="69"/>
      <c r="B832" s="68"/>
      <c r="C832" s="68"/>
      <c r="D832" s="68"/>
      <c r="E832" s="76"/>
      <c r="F832" s="13"/>
      <c r="G832" s="13"/>
      <c r="H832" s="13"/>
      <c r="I832" s="13"/>
      <c r="J832" s="13"/>
      <c r="K832" s="13"/>
    </row>
    <row r="833" spans="1:11" ht="24" customHeight="1" x14ac:dyDescent="0.25">
      <c r="A833" s="69"/>
      <c r="B833" s="55" t="s">
        <v>106</v>
      </c>
      <c r="C833" s="39"/>
      <c r="D833" s="70"/>
      <c r="E833" s="39"/>
      <c r="F833" s="13"/>
      <c r="G833" s="13"/>
      <c r="H833" s="13"/>
      <c r="I833" s="13"/>
      <c r="J833" s="13"/>
      <c r="K833" s="13"/>
    </row>
    <row r="834" spans="1:11" ht="21.95" customHeight="1" x14ac:dyDescent="0.25">
      <c r="A834" s="69"/>
      <c r="B834" s="56" t="s">
        <v>82</v>
      </c>
      <c r="C834" s="57">
        <f>C780</f>
        <v>0</v>
      </c>
      <c r="D834" s="84">
        <f>D780</f>
        <v>0</v>
      </c>
      <c r="E834" s="58"/>
      <c r="F834" s="13"/>
      <c r="G834" s="13"/>
      <c r="H834" s="13"/>
      <c r="I834" s="13"/>
      <c r="J834" s="13"/>
      <c r="K834" s="13"/>
    </row>
    <row r="835" spans="1:11" ht="21.95" customHeight="1" x14ac:dyDescent="0.25">
      <c r="A835" s="69"/>
      <c r="B835" s="56" t="s">
        <v>83</v>
      </c>
      <c r="C835" s="57">
        <f>C831</f>
        <v>0</v>
      </c>
      <c r="D835" s="84">
        <f>D831</f>
        <v>0</v>
      </c>
      <c r="E835" s="58"/>
      <c r="F835" s="13"/>
      <c r="G835" s="13"/>
      <c r="H835" s="13"/>
      <c r="I835" s="13"/>
      <c r="J835" s="13"/>
      <c r="K835" s="13"/>
    </row>
    <row r="836" spans="1:11" ht="21.95" customHeight="1" x14ac:dyDescent="0.25">
      <c r="A836" s="69"/>
      <c r="B836" s="59" t="s">
        <v>84</v>
      </c>
      <c r="C836" s="60">
        <f>C834-C835</f>
        <v>0</v>
      </c>
      <c r="D836" s="85">
        <f>D780-D831</f>
        <v>0</v>
      </c>
      <c r="E836" s="61"/>
      <c r="F836" s="13"/>
      <c r="G836" s="13"/>
      <c r="H836" s="13"/>
      <c r="I836" s="13"/>
      <c r="J836" s="13"/>
      <c r="K836" s="13"/>
    </row>
    <row r="837" spans="1:11" ht="21.95" customHeight="1" x14ac:dyDescent="0.25">
      <c r="A837" s="69"/>
      <c r="B837" s="59" t="s">
        <v>5</v>
      </c>
      <c r="C837" s="62" t="str">
        <f>IF(C834=0,"",1-C835/C834)</f>
        <v/>
      </c>
      <c r="D837" s="88" t="str">
        <f>IF(D780=0,"",1-D831/D780)</f>
        <v/>
      </c>
      <c r="E837" s="61"/>
      <c r="F837" s="13"/>
      <c r="G837" s="13"/>
      <c r="H837" s="13"/>
      <c r="I837" s="13"/>
      <c r="J837" s="13"/>
      <c r="K837" s="13"/>
    </row>
  </sheetData>
  <sheetProtection sheet="1" objects="1" scenarios="1" formatColumns="0" formatRows="0"/>
  <mergeCells count="168">
    <mergeCell ref="B806:E806"/>
    <mergeCell ref="B213:E213"/>
    <mergeCell ref="B351:E351"/>
    <mergeCell ref="B516:E516"/>
    <mergeCell ref="B531:E531"/>
    <mergeCell ref="B321:E321"/>
    <mergeCell ref="B596:E596"/>
    <mergeCell ref="B572:E572"/>
    <mergeCell ref="B580:E580"/>
    <mergeCell ref="B720:E720"/>
    <mergeCell ref="B450:E450"/>
    <mergeCell ref="B259:E259"/>
    <mergeCell ref="B701:E701"/>
    <mergeCell ref="B539:E539"/>
    <mergeCell ref="B623:E623"/>
    <mergeCell ref="B461:E461"/>
    <mergeCell ref="B267:E267"/>
    <mergeCell ref="B687:E687"/>
    <mergeCell ref="B543:E543"/>
    <mergeCell ref="B656:E656"/>
    <mergeCell ref="B364:E364"/>
    <mergeCell ref="B30:E30"/>
    <mergeCell ref="B683:E683"/>
    <mergeCell ref="B477:E477"/>
    <mergeCell ref="B251:E251"/>
    <mergeCell ref="B20:E20"/>
    <mergeCell ref="B133:E133"/>
    <mergeCell ref="B189:E189"/>
    <mergeCell ref="B493:E493"/>
    <mergeCell ref="B757:E757"/>
    <mergeCell ref="B96:E96"/>
    <mergeCell ref="B152:E152"/>
    <mergeCell ref="B111:E111"/>
    <mergeCell ref="B181:E181"/>
    <mergeCell ref="B73:E73"/>
    <mergeCell ref="B82:E82"/>
    <mergeCell ref="B421:E421"/>
    <mergeCell ref="B57:E57"/>
    <mergeCell ref="B170:E170"/>
    <mergeCell ref="B790:E790"/>
    <mergeCell ref="B446:E446"/>
    <mergeCell ref="B333:E333"/>
    <mergeCell ref="B407:E407"/>
    <mergeCell ref="B491:E491"/>
    <mergeCell ref="B520:E520"/>
    <mergeCell ref="B609:E609"/>
    <mergeCell ref="B510:E510"/>
    <mergeCell ref="B143:E143"/>
    <mergeCell ref="B827:E827"/>
    <mergeCell ref="B547:E547"/>
    <mergeCell ref="B53:E53"/>
    <mergeCell ref="B166:E166"/>
    <mergeCell ref="B337:E337"/>
    <mergeCell ref="B119:E119"/>
    <mergeCell ref="B535:E535"/>
    <mergeCell ref="B644:E644"/>
    <mergeCell ref="B815:E815"/>
    <mergeCell ref="B423:E423"/>
    <mergeCell ref="B230:E230"/>
    <mergeCell ref="B563:E563"/>
    <mergeCell ref="B84:E84"/>
    <mergeCell ref="B127:E127"/>
    <mergeCell ref="B329:E329"/>
    <mergeCell ref="B281:E281"/>
    <mergeCell ref="B316:E316"/>
    <mergeCell ref="B403:E403"/>
    <mergeCell ref="B434:E434"/>
    <mergeCell ref="B605:E605"/>
    <mergeCell ref="B773:E773"/>
    <mergeCell ref="B160:E160"/>
    <mergeCell ref="B306:E306"/>
    <mergeCell ref="B386:E386"/>
    <mergeCell ref="B3:E3"/>
    <mergeCell ref="B432:E432"/>
    <mergeCell ref="B730:E730"/>
    <mergeCell ref="B782:E782"/>
    <mergeCell ref="B465:E465"/>
    <mergeCell ref="B714:E714"/>
    <mergeCell ref="B601:E601"/>
    <mergeCell ref="B440:E440"/>
    <mergeCell ref="B240:E240"/>
    <mergeCell ref="B353:E353"/>
    <mergeCell ref="B642:E642"/>
    <mergeCell ref="B526:E526"/>
    <mergeCell ref="B224:E224"/>
    <mergeCell ref="B395:E395"/>
    <mergeCell ref="B693:E693"/>
    <mergeCell ref="B185:E185"/>
    <mergeCell ref="B671:E671"/>
    <mergeCell ref="B370:E370"/>
    <mergeCell ref="B483:E483"/>
    <mergeCell ref="B292:E292"/>
    <mergeCell ref="B71:E71"/>
    <mergeCell ref="B236:E236"/>
    <mergeCell ref="B176:E176"/>
    <mergeCell ref="B631:E631"/>
    <mergeCell ref="B1:E1"/>
    <mergeCell ref="B741:E741"/>
    <mergeCell ref="B833:E833"/>
    <mergeCell ref="B283:E283"/>
    <mergeCell ref="B376:E376"/>
    <mergeCell ref="B823:E823"/>
    <mergeCell ref="B590:E590"/>
    <mergeCell ref="B703:E703"/>
    <mergeCell ref="B246:E246"/>
    <mergeCell ref="B712:E712"/>
    <mergeCell ref="B211:E211"/>
    <mergeCell ref="B255:E255"/>
    <mergeCell ref="B49:E49"/>
    <mergeCell ref="B456:E456"/>
    <mergeCell ref="B574:E574"/>
    <mergeCell ref="B469:E469"/>
    <mergeCell ref="B745:E745"/>
    <mergeCell ref="B502:E502"/>
    <mergeCell ref="B800:E800"/>
    <mergeCell ref="B222:E222"/>
    <mergeCell ref="B63:E63"/>
    <mergeCell ref="B26:E26"/>
    <mergeCell ref="B41:E41"/>
    <mergeCell ref="B154:E154"/>
    <mergeCell ref="B675:E675"/>
    <mergeCell ref="B749:E749"/>
    <mergeCell ref="B12:E12"/>
    <mergeCell ref="B263:E263"/>
    <mergeCell ref="B362:E362"/>
    <mergeCell ref="B726:E726"/>
    <mergeCell ref="B660:E660"/>
    <mergeCell ref="B819:E819"/>
    <mergeCell ref="B14:E14"/>
    <mergeCell ref="B613:E613"/>
    <mergeCell ref="B197:E197"/>
    <mergeCell ref="B796:E796"/>
    <mergeCell ref="B679:E679"/>
    <mergeCell ref="B106:E106"/>
    <mergeCell ref="B771:E771"/>
    <mergeCell ref="B753:E753"/>
    <mergeCell ref="B553:E553"/>
    <mergeCell ref="B666:E666"/>
    <mergeCell ref="B380:E380"/>
    <mergeCell ref="B90:E90"/>
    <mergeCell ref="B784:E784"/>
    <mergeCell ref="B294:E294"/>
    <mergeCell ref="B736:E736"/>
    <mergeCell ref="B617:E617"/>
    <mergeCell ref="B413:E413"/>
    <mergeCell ref="B811:E811"/>
    <mergeCell ref="B300:E300"/>
    <mergeCell ref="B310:E310"/>
    <mergeCell ref="B633:E633"/>
    <mergeCell ref="B586:E586"/>
    <mergeCell ref="B123:E123"/>
    <mergeCell ref="B36:E36"/>
    <mergeCell ref="B325:E325"/>
    <mergeCell ref="B45:E45"/>
    <mergeCell ref="B203:E203"/>
    <mergeCell ref="B399:E399"/>
    <mergeCell ref="B343:E343"/>
    <mergeCell ref="B561:E561"/>
    <mergeCell ref="B650:E650"/>
    <mergeCell ref="B763:E763"/>
    <mergeCell ref="B100:E100"/>
    <mergeCell ref="B141:E141"/>
    <mergeCell ref="B115:E115"/>
    <mergeCell ref="B193:E193"/>
    <mergeCell ref="B391:E391"/>
    <mergeCell ref="B273:E273"/>
    <mergeCell ref="B473:E473"/>
    <mergeCell ref="B504:E504"/>
  </mergeCells>
  <conditionalFormatting sqref="E5:E9">
    <cfRule type="cellIs" dxfId="49" priority="3" operator="greaterThanOrEqual">
      <formula>0</formula>
    </cfRule>
    <cfRule type="cellIs" dxfId="48" priority="4" operator="lessThan">
      <formula>0</formula>
    </cfRule>
  </conditionalFormatting>
  <conditionalFormatting sqref="E14:E60">
    <cfRule type="cellIs" dxfId="47" priority="1" operator="greaterThanOrEqual">
      <formula>0</formula>
    </cfRule>
    <cfRule type="cellIs" dxfId="46" priority="2" operator="lessThan">
      <formula>0</formula>
    </cfRule>
  </conditionalFormatting>
  <conditionalFormatting sqref="E75:E79">
    <cfRule type="cellIs" dxfId="45" priority="7" operator="greaterThanOrEqual">
      <formula>0</formula>
    </cfRule>
    <cfRule type="cellIs" dxfId="44" priority="8" operator="lessThan">
      <formula>0</formula>
    </cfRule>
  </conditionalFormatting>
  <conditionalFormatting sqref="E84:E130">
    <cfRule type="cellIs" dxfId="43" priority="5" operator="greaterThanOrEqual">
      <formula>0</formula>
    </cfRule>
    <cfRule type="cellIs" dxfId="42" priority="6" operator="lessThan">
      <formula>0</formula>
    </cfRule>
  </conditionalFormatting>
  <conditionalFormatting sqref="E145:E149">
    <cfRule type="cellIs" dxfId="41" priority="11" operator="greaterThanOrEqual">
      <formula>0</formula>
    </cfRule>
    <cfRule type="cellIs" dxfId="40" priority="12" operator="lessThan">
      <formula>0</formula>
    </cfRule>
  </conditionalFormatting>
  <conditionalFormatting sqref="E154:E200">
    <cfRule type="cellIs" dxfId="39" priority="9" operator="greaterThanOrEqual">
      <formula>0</formula>
    </cfRule>
    <cfRule type="cellIs" dxfId="38" priority="10" operator="lessThan">
      <formula>0</formula>
    </cfRule>
  </conditionalFormatting>
  <conditionalFormatting sqref="E215:E219">
    <cfRule type="cellIs" dxfId="37" priority="15" operator="greaterThanOrEqual">
      <formula>0</formula>
    </cfRule>
    <cfRule type="cellIs" dxfId="36" priority="16" operator="lessThan">
      <formula>0</formula>
    </cfRule>
  </conditionalFormatting>
  <conditionalFormatting sqref="E224:E270">
    <cfRule type="cellIs" dxfId="35" priority="13" operator="greaterThanOrEqual">
      <formula>0</formula>
    </cfRule>
    <cfRule type="cellIs" dxfId="34" priority="14" operator="lessThan">
      <formula>0</formula>
    </cfRule>
  </conditionalFormatting>
  <conditionalFormatting sqref="E285:E289">
    <cfRule type="cellIs" dxfId="33" priority="19" operator="greaterThanOrEqual">
      <formula>0</formula>
    </cfRule>
    <cfRule type="cellIs" dxfId="32" priority="20" operator="lessThan">
      <formula>0</formula>
    </cfRule>
  </conditionalFormatting>
  <conditionalFormatting sqref="E294:E340">
    <cfRule type="cellIs" dxfId="31" priority="17" operator="greaterThanOrEqual">
      <formula>0</formula>
    </cfRule>
    <cfRule type="cellIs" dxfId="30" priority="18" operator="lessThan">
      <formula>0</formula>
    </cfRule>
  </conditionalFormatting>
  <conditionalFormatting sqref="E355:E359">
    <cfRule type="cellIs" dxfId="29" priority="23" operator="greaterThanOrEqual">
      <formula>0</formula>
    </cfRule>
    <cfRule type="cellIs" dxfId="28" priority="24" operator="lessThan">
      <formula>0</formula>
    </cfRule>
  </conditionalFormatting>
  <conditionalFormatting sqref="E364:E410">
    <cfRule type="cellIs" dxfId="27" priority="21" operator="greaterThanOrEqual">
      <formula>0</formula>
    </cfRule>
    <cfRule type="cellIs" dxfId="26" priority="22" operator="lessThan">
      <formula>0</formula>
    </cfRule>
  </conditionalFormatting>
  <conditionalFormatting sqref="E425:E429">
    <cfRule type="cellIs" dxfId="25" priority="27" operator="greaterThanOrEqual">
      <formula>0</formula>
    </cfRule>
    <cfRule type="cellIs" dxfId="24" priority="28" operator="lessThan">
      <formula>0</formula>
    </cfRule>
  </conditionalFormatting>
  <conditionalFormatting sqref="E434:E480">
    <cfRule type="cellIs" dxfId="23" priority="25" operator="greaterThanOrEqual">
      <formula>0</formula>
    </cfRule>
    <cfRule type="cellIs" dxfId="22" priority="26" operator="lessThan">
      <formula>0</formula>
    </cfRule>
  </conditionalFormatting>
  <conditionalFormatting sqref="E495:E499">
    <cfRule type="cellIs" dxfId="21" priority="31" operator="greaterThanOrEqual">
      <formula>0</formula>
    </cfRule>
    <cfRule type="cellIs" dxfId="20" priority="32" operator="lessThan">
      <formula>0</formula>
    </cfRule>
  </conditionalFormatting>
  <conditionalFormatting sqref="E504:E550">
    <cfRule type="cellIs" dxfId="19" priority="29" operator="greaterThanOrEqual">
      <formula>0</formula>
    </cfRule>
    <cfRule type="cellIs" dxfId="18" priority="30" operator="lessThan">
      <formula>0</formula>
    </cfRule>
  </conditionalFormatting>
  <conditionalFormatting sqref="E565:E569">
    <cfRule type="cellIs" dxfId="17" priority="35" operator="greaterThanOrEqual">
      <formula>0</formula>
    </cfRule>
    <cfRule type="cellIs" dxfId="16" priority="36" operator="lessThan">
      <formula>0</formula>
    </cfRule>
  </conditionalFormatting>
  <conditionalFormatting sqref="E574:E620">
    <cfRule type="cellIs" dxfId="15" priority="33" operator="greaterThanOrEqual">
      <formula>0</formula>
    </cfRule>
    <cfRule type="cellIs" dxfId="14" priority="34" operator="lessThan">
      <formula>0</formula>
    </cfRule>
  </conditionalFormatting>
  <conditionalFormatting sqref="E635:E639">
    <cfRule type="cellIs" dxfId="13" priority="39" operator="greaterThanOrEqual">
      <formula>0</formula>
    </cfRule>
    <cfRule type="cellIs" dxfId="12" priority="40" operator="lessThan">
      <formula>0</formula>
    </cfRule>
  </conditionalFormatting>
  <conditionalFormatting sqref="E644:E690">
    <cfRule type="cellIs" dxfId="11" priority="37" operator="greaterThanOrEqual">
      <formula>0</formula>
    </cfRule>
    <cfRule type="cellIs" dxfId="10" priority="38" operator="lessThan">
      <formula>0</formula>
    </cfRule>
  </conditionalFormatting>
  <conditionalFormatting sqref="E705:E709">
    <cfRule type="cellIs" dxfId="9" priority="43" operator="greaterThanOrEqual">
      <formula>0</formula>
    </cfRule>
    <cfRule type="cellIs" dxfId="8" priority="44" operator="lessThan">
      <formula>0</formula>
    </cfRule>
  </conditionalFormatting>
  <conditionalFormatting sqref="E714:E760">
    <cfRule type="cellIs" dxfId="7" priority="41" operator="greaterThanOrEqual">
      <formula>0</formula>
    </cfRule>
    <cfRule type="cellIs" dxfId="6" priority="42" operator="lessThan">
      <formula>0</formula>
    </cfRule>
  </conditionalFormatting>
  <conditionalFormatting sqref="E775:E779">
    <cfRule type="cellIs" dxfId="5" priority="47" operator="greaterThanOrEqual">
      <formula>0</formula>
    </cfRule>
    <cfRule type="cellIs" dxfId="4" priority="48" operator="lessThan">
      <formula>0</formula>
    </cfRule>
  </conditionalFormatting>
  <conditionalFormatting sqref="E784:E830">
    <cfRule type="cellIs" dxfId="3" priority="45" operator="greaterThanOrEqual">
      <formula>0</formula>
    </cfRule>
    <cfRule type="cellIs" dxfId="2" priority="46" operator="less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856D6"/>
  </sheetPr>
  <dimension ref="A1:L50"/>
  <sheetViews>
    <sheetView showGridLines="0" workbookViewId="0">
      <pane ySplit="2" topLeftCell="A3" activePane="bottomLeft" state="frozen"/>
      <selection pane="bottomLeft" activeCell="G6" sqref="G6 E7"/>
    </sheetView>
  </sheetViews>
  <sheetFormatPr baseColWidth="10" defaultColWidth="9.140625" defaultRowHeight="15" x14ac:dyDescent="0.25"/>
  <cols>
    <col min="1" max="1" width="1.85546875" customWidth="1"/>
    <col min="2" max="2" width="26.7109375" customWidth="1"/>
    <col min="3" max="5" width="20" customWidth="1"/>
    <col min="6" max="6" width="17.140625" customWidth="1"/>
    <col min="7" max="7" width="21.85546875" customWidth="1"/>
    <col min="8" max="8" width="3" customWidth="1"/>
  </cols>
  <sheetData>
    <row r="1" spans="1:12" ht="36" customHeight="1" x14ac:dyDescent="0.25">
      <c r="A1" s="13"/>
      <c r="B1" s="143" t="s">
        <v>107</v>
      </c>
      <c r="C1" s="144"/>
      <c r="D1" s="144"/>
      <c r="E1" s="144"/>
      <c r="F1" s="144"/>
      <c r="G1" s="144"/>
      <c r="H1" s="13"/>
      <c r="I1" s="13"/>
      <c r="J1" s="13"/>
      <c r="K1" s="13"/>
      <c r="L1" s="13"/>
    </row>
    <row r="2" spans="1:12" ht="24" customHeight="1" x14ac:dyDescent="0.25">
      <c r="A2" s="13"/>
      <c r="B2" s="152" t="s">
        <v>1</v>
      </c>
      <c r="C2" s="153" t="s">
        <v>82</v>
      </c>
      <c r="D2" s="153" t="s">
        <v>83</v>
      </c>
      <c r="E2" s="153" t="s">
        <v>108</v>
      </c>
      <c r="F2" s="153" t="s">
        <v>5</v>
      </c>
      <c r="G2" s="154" t="s">
        <v>6</v>
      </c>
      <c r="H2" s="13"/>
      <c r="I2" s="13"/>
      <c r="J2" s="13"/>
      <c r="K2" s="13"/>
      <c r="L2" s="13"/>
    </row>
    <row r="3" spans="1:12" ht="21.95" customHeight="1" x14ac:dyDescent="0.25">
      <c r="A3" s="13"/>
      <c r="B3" s="145" t="s">
        <v>7</v>
      </c>
      <c r="C3" s="146">
        <f>'📋 Monthly Budget'!D10</f>
        <v>5945</v>
      </c>
      <c r="D3" s="142">
        <f>'📋 Monthly Budget'!D61</f>
        <v>5305</v>
      </c>
      <c r="E3" s="142">
        <f t="shared" ref="E3:E15" si="0">C3-D3</f>
        <v>640</v>
      </c>
      <c r="F3" s="147">
        <f t="shared" ref="F3:F16" si="1">IF(C3=0,"",E3/C3)</f>
        <v>0.10765349032800672</v>
      </c>
      <c r="G3" s="142">
        <f>E3</f>
        <v>640</v>
      </c>
      <c r="H3" s="13"/>
      <c r="I3" s="13"/>
      <c r="J3" s="13"/>
      <c r="K3" s="13"/>
      <c r="L3" s="13"/>
    </row>
    <row r="4" spans="1:12" ht="21.95" customHeight="1" x14ac:dyDescent="0.25">
      <c r="A4" s="13"/>
      <c r="B4" s="155" t="s">
        <v>8</v>
      </c>
      <c r="C4" s="156">
        <f>'📋 Monthly Budget'!D80</f>
        <v>6080</v>
      </c>
      <c r="D4" s="157">
        <f>'📋 Monthly Budget'!D131</f>
        <v>5450</v>
      </c>
      <c r="E4" s="157">
        <f t="shared" si="0"/>
        <v>630</v>
      </c>
      <c r="F4" s="158">
        <f t="shared" si="1"/>
        <v>0.10361842105263158</v>
      </c>
      <c r="G4" s="157">
        <f t="shared" ref="G4:G14" si="2">G3+E4</f>
        <v>1270</v>
      </c>
      <c r="H4" s="13"/>
      <c r="I4" s="13"/>
      <c r="J4" s="13"/>
      <c r="K4" s="13"/>
      <c r="L4" s="13"/>
    </row>
    <row r="5" spans="1:12" ht="21.95" customHeight="1" x14ac:dyDescent="0.25">
      <c r="A5" s="13"/>
      <c r="B5" s="148" t="s">
        <v>9</v>
      </c>
      <c r="C5" s="149">
        <f>'📋 Monthly Budget'!D150</f>
        <v>6160</v>
      </c>
      <c r="D5" s="150">
        <f>'📋 Monthly Budget'!D201</f>
        <v>5650</v>
      </c>
      <c r="E5" s="150">
        <f t="shared" si="0"/>
        <v>510</v>
      </c>
      <c r="F5" s="151">
        <f t="shared" si="1"/>
        <v>8.2792207792207792E-2</v>
      </c>
      <c r="G5" s="150">
        <f t="shared" si="2"/>
        <v>1780</v>
      </c>
      <c r="H5" s="13"/>
      <c r="I5" s="13"/>
      <c r="J5" s="13"/>
      <c r="K5" s="13"/>
      <c r="L5" s="13"/>
    </row>
    <row r="6" spans="1:12" ht="21.95" customHeight="1" x14ac:dyDescent="0.25">
      <c r="A6" s="13"/>
      <c r="B6" s="155" t="s">
        <v>10</v>
      </c>
      <c r="C6" s="156">
        <f>'📋 Monthly Budget'!D220</f>
        <v>0</v>
      </c>
      <c r="D6" s="157">
        <f>'📋 Monthly Budget'!D271</f>
        <v>0</v>
      </c>
      <c r="E6" s="157">
        <f t="shared" si="0"/>
        <v>0</v>
      </c>
      <c r="F6" s="158" t="str">
        <f t="shared" si="1"/>
        <v/>
      </c>
      <c r="G6" s="157">
        <f t="shared" si="2"/>
        <v>1780</v>
      </c>
      <c r="H6" s="13"/>
      <c r="I6" s="13"/>
      <c r="J6" s="13"/>
      <c r="K6" s="13"/>
      <c r="L6" s="13"/>
    </row>
    <row r="7" spans="1:12" ht="21.95" customHeight="1" x14ac:dyDescent="0.25">
      <c r="A7" s="13"/>
      <c r="B7" s="148" t="s">
        <v>11</v>
      </c>
      <c r="C7" s="149">
        <f>'📋 Monthly Budget'!D290</f>
        <v>0</v>
      </c>
      <c r="D7" s="150">
        <f>'📋 Monthly Budget'!D341</f>
        <v>0</v>
      </c>
      <c r="E7" s="150">
        <f t="shared" si="0"/>
        <v>0</v>
      </c>
      <c r="F7" s="151" t="str">
        <f t="shared" si="1"/>
        <v/>
      </c>
      <c r="G7" s="150">
        <f t="shared" si="2"/>
        <v>1780</v>
      </c>
      <c r="H7" s="13"/>
      <c r="I7" s="13"/>
      <c r="J7" s="13"/>
      <c r="K7" s="13"/>
      <c r="L7" s="13"/>
    </row>
    <row r="8" spans="1:12" ht="21.95" customHeight="1" x14ac:dyDescent="0.25">
      <c r="A8" s="13"/>
      <c r="B8" s="155" t="s">
        <v>12</v>
      </c>
      <c r="C8" s="156">
        <f>'📋 Monthly Budget'!D360</f>
        <v>0</v>
      </c>
      <c r="D8" s="157">
        <f>'📋 Monthly Budget'!D411</f>
        <v>0</v>
      </c>
      <c r="E8" s="157">
        <f t="shared" si="0"/>
        <v>0</v>
      </c>
      <c r="F8" s="158" t="str">
        <f t="shared" si="1"/>
        <v/>
      </c>
      <c r="G8" s="157">
        <f t="shared" si="2"/>
        <v>1780</v>
      </c>
      <c r="H8" s="13"/>
      <c r="I8" s="13"/>
      <c r="J8" s="13"/>
      <c r="K8" s="13"/>
      <c r="L8" s="13"/>
    </row>
    <row r="9" spans="1:12" ht="21.95" customHeight="1" x14ac:dyDescent="0.25">
      <c r="A9" s="13"/>
      <c r="B9" s="148" t="s">
        <v>13</v>
      </c>
      <c r="C9" s="149">
        <f>'📋 Monthly Budget'!D430</f>
        <v>0</v>
      </c>
      <c r="D9" s="150">
        <f>'📋 Monthly Budget'!D481</f>
        <v>0</v>
      </c>
      <c r="E9" s="150">
        <f t="shared" si="0"/>
        <v>0</v>
      </c>
      <c r="F9" s="151" t="str">
        <f t="shared" si="1"/>
        <v/>
      </c>
      <c r="G9" s="150">
        <f t="shared" si="2"/>
        <v>1780</v>
      </c>
      <c r="H9" s="13"/>
      <c r="I9" s="13"/>
      <c r="J9" s="13"/>
      <c r="K9" s="13"/>
      <c r="L9" s="13"/>
    </row>
    <row r="10" spans="1:12" ht="21.95" customHeight="1" x14ac:dyDescent="0.25">
      <c r="A10" s="13"/>
      <c r="B10" s="155" t="s">
        <v>14</v>
      </c>
      <c r="C10" s="156">
        <f>'📋 Monthly Budget'!D500</f>
        <v>0</v>
      </c>
      <c r="D10" s="157">
        <f>'📋 Monthly Budget'!D551</f>
        <v>0</v>
      </c>
      <c r="E10" s="157">
        <f t="shared" si="0"/>
        <v>0</v>
      </c>
      <c r="F10" s="158" t="str">
        <f t="shared" si="1"/>
        <v/>
      </c>
      <c r="G10" s="157">
        <f t="shared" si="2"/>
        <v>1780</v>
      </c>
      <c r="H10" s="13"/>
      <c r="I10" s="13"/>
      <c r="J10" s="13"/>
      <c r="K10" s="13"/>
      <c r="L10" s="13"/>
    </row>
    <row r="11" spans="1:12" ht="21.95" customHeight="1" x14ac:dyDescent="0.25">
      <c r="A11" s="13"/>
      <c r="B11" s="148" t="s">
        <v>15</v>
      </c>
      <c r="C11" s="149">
        <f>'📋 Monthly Budget'!D570</f>
        <v>0</v>
      </c>
      <c r="D11" s="150">
        <f>'📋 Monthly Budget'!D621</f>
        <v>0</v>
      </c>
      <c r="E11" s="150">
        <f t="shared" si="0"/>
        <v>0</v>
      </c>
      <c r="F11" s="151" t="str">
        <f t="shared" si="1"/>
        <v/>
      </c>
      <c r="G11" s="150">
        <f t="shared" si="2"/>
        <v>1780</v>
      </c>
      <c r="H11" s="13"/>
      <c r="I11" s="13"/>
      <c r="J11" s="13"/>
      <c r="K11" s="13"/>
      <c r="L11" s="13"/>
    </row>
    <row r="12" spans="1:12" ht="21.95" customHeight="1" x14ac:dyDescent="0.25">
      <c r="A12" s="13"/>
      <c r="B12" s="155" t="s">
        <v>16</v>
      </c>
      <c r="C12" s="156">
        <f>'📋 Monthly Budget'!D640</f>
        <v>0</v>
      </c>
      <c r="D12" s="157">
        <f>'📋 Monthly Budget'!D691</f>
        <v>0</v>
      </c>
      <c r="E12" s="157">
        <f t="shared" si="0"/>
        <v>0</v>
      </c>
      <c r="F12" s="158" t="str">
        <f t="shared" si="1"/>
        <v/>
      </c>
      <c r="G12" s="157">
        <f t="shared" si="2"/>
        <v>1780</v>
      </c>
      <c r="H12" s="13"/>
      <c r="I12" s="13"/>
      <c r="J12" s="13"/>
      <c r="K12" s="13"/>
      <c r="L12" s="13"/>
    </row>
    <row r="13" spans="1:12" ht="21.95" customHeight="1" x14ac:dyDescent="0.25">
      <c r="A13" s="13"/>
      <c r="B13" s="148" t="s">
        <v>17</v>
      </c>
      <c r="C13" s="149">
        <f>'📋 Monthly Budget'!D710</f>
        <v>0</v>
      </c>
      <c r="D13" s="150">
        <f>'📋 Monthly Budget'!D761</f>
        <v>0</v>
      </c>
      <c r="E13" s="150">
        <f t="shared" si="0"/>
        <v>0</v>
      </c>
      <c r="F13" s="151" t="str">
        <f t="shared" si="1"/>
        <v/>
      </c>
      <c r="G13" s="150">
        <f t="shared" si="2"/>
        <v>1780</v>
      </c>
      <c r="H13" s="13"/>
      <c r="I13" s="13"/>
      <c r="J13" s="13"/>
      <c r="K13" s="13"/>
      <c r="L13" s="13"/>
    </row>
    <row r="14" spans="1:12" ht="21.95" customHeight="1" thickBot="1" x14ac:dyDescent="0.3">
      <c r="A14" s="13"/>
      <c r="B14" s="155" t="s">
        <v>18</v>
      </c>
      <c r="C14" s="156">
        <f>'📋 Monthly Budget'!D780</f>
        <v>0</v>
      </c>
      <c r="D14" s="157">
        <f>'📋 Monthly Budget'!D831</f>
        <v>0</v>
      </c>
      <c r="E14" s="157">
        <f t="shared" si="0"/>
        <v>0</v>
      </c>
      <c r="F14" s="158" t="str">
        <f t="shared" si="1"/>
        <v/>
      </c>
      <c r="G14" s="157">
        <f t="shared" si="2"/>
        <v>1780</v>
      </c>
      <c r="H14" s="13"/>
      <c r="I14" s="13"/>
      <c r="J14" s="13"/>
      <c r="K14" s="13"/>
      <c r="L14" s="13"/>
    </row>
    <row r="15" spans="1:12" ht="26.1" customHeight="1" x14ac:dyDescent="0.25">
      <c r="A15" s="13"/>
      <c r="B15" s="159" t="s">
        <v>19</v>
      </c>
      <c r="C15" s="160">
        <f>SUM(C3:C14)</f>
        <v>18185</v>
      </c>
      <c r="D15" s="161">
        <f>SUM(D3:D14)</f>
        <v>16405</v>
      </c>
      <c r="E15" s="161">
        <f t="shared" si="0"/>
        <v>1780</v>
      </c>
      <c r="F15" s="162">
        <f t="shared" si="1"/>
        <v>9.7882870497662908E-2</v>
      </c>
      <c r="G15" s="161">
        <f>G14</f>
        <v>1780</v>
      </c>
      <c r="H15" s="13"/>
      <c r="I15" s="13"/>
      <c r="J15" s="13"/>
      <c r="K15" s="13"/>
      <c r="L15" s="13"/>
    </row>
    <row r="16" spans="1:12" ht="21.95" customHeight="1" x14ac:dyDescent="0.25">
      <c r="A16" s="13"/>
      <c r="B16" s="163" t="s">
        <v>109</v>
      </c>
      <c r="C16" s="164">
        <f>AVERAGE(C3:C14)</f>
        <v>1515.4166666666667</v>
      </c>
      <c r="D16" s="165">
        <f>AVERAGE(D3:D14)</f>
        <v>1367.0833333333333</v>
      </c>
      <c r="E16" s="165">
        <f>AVERAGE(E3:E14)</f>
        <v>148.33333333333334</v>
      </c>
      <c r="F16" s="166">
        <f t="shared" si="1"/>
        <v>9.7882870497662908E-2</v>
      </c>
      <c r="G16" s="167"/>
      <c r="H16" s="13"/>
      <c r="I16" s="13"/>
      <c r="J16" s="13"/>
      <c r="K16" s="13"/>
      <c r="L16" s="13"/>
    </row>
    <row r="17" spans="1:12" ht="9.9499999999999993" customHeight="1" x14ac:dyDescent="0.25">
      <c r="A17" s="13"/>
      <c r="B17" s="13"/>
      <c r="C17" s="13"/>
      <c r="D17" s="13"/>
      <c r="E17" s="13"/>
      <c r="F17" s="13"/>
      <c r="G17" s="13"/>
      <c r="H17" s="13"/>
      <c r="I17" s="13"/>
      <c r="J17" s="13"/>
      <c r="K17" s="13"/>
      <c r="L17" s="13"/>
    </row>
    <row r="18" spans="1:12" ht="27.95" customHeight="1" x14ac:dyDescent="0.25">
      <c r="A18" s="13"/>
      <c r="B18" s="168" t="s">
        <v>110</v>
      </c>
      <c r="C18" s="144"/>
      <c r="D18" s="144"/>
      <c r="E18" s="144"/>
      <c r="F18" s="144"/>
      <c r="G18" s="144"/>
      <c r="H18" s="13"/>
      <c r="I18" s="13"/>
      <c r="J18" s="13"/>
      <c r="K18" s="13"/>
      <c r="L18" s="13"/>
    </row>
    <row r="19" spans="1:12" ht="24" customHeight="1" x14ac:dyDescent="0.25">
      <c r="A19" s="13"/>
      <c r="B19" s="169" t="s">
        <v>111</v>
      </c>
      <c r="C19" s="170" t="str">
        <f>INDEX(B3:B14,MATCH(MAX(E3:E14),E3:E14,0))</f>
        <v>January</v>
      </c>
      <c r="D19" s="171"/>
      <c r="E19" s="172">
        <f>MAX(E3:E14)</f>
        <v>640</v>
      </c>
      <c r="F19" s="173"/>
      <c r="G19" s="174"/>
      <c r="H19" s="13"/>
      <c r="I19" s="13"/>
      <c r="J19" s="13"/>
      <c r="K19" s="13"/>
      <c r="L19" s="13"/>
    </row>
    <row r="20" spans="1:12" ht="24" customHeight="1" x14ac:dyDescent="0.25">
      <c r="A20" s="13"/>
      <c r="B20" s="181" t="s">
        <v>112</v>
      </c>
      <c r="C20" s="182" t="str">
        <f>INDEX(B3:B14,MATCH(MIN(E3:E14),E3:E14,0))</f>
        <v>April</v>
      </c>
      <c r="D20" s="183"/>
      <c r="E20" s="184">
        <f>MIN(E3:E14)</f>
        <v>0</v>
      </c>
      <c r="F20" s="185"/>
      <c r="G20" s="186"/>
      <c r="H20" s="13"/>
      <c r="I20" s="13"/>
      <c r="J20" s="13"/>
      <c r="K20" s="13"/>
      <c r="L20" s="13"/>
    </row>
    <row r="21" spans="1:12" ht="24" customHeight="1" x14ac:dyDescent="0.25">
      <c r="A21" s="13"/>
      <c r="B21" s="181" t="s">
        <v>113</v>
      </c>
      <c r="C21" s="182" t="str">
        <f>INDEX(B3:B14,MATCH(MAX(D3:D14),D3:D14,0))</f>
        <v>March</v>
      </c>
      <c r="D21" s="183"/>
      <c r="E21" s="184">
        <f>MAX(D3:D14)</f>
        <v>5650</v>
      </c>
      <c r="F21" s="185"/>
      <c r="G21" s="186"/>
      <c r="H21" s="13"/>
      <c r="I21" s="13"/>
      <c r="J21" s="13"/>
      <c r="K21" s="13"/>
      <c r="L21" s="13"/>
    </row>
    <row r="22" spans="1:12" ht="24" customHeight="1" x14ac:dyDescent="0.25">
      <c r="A22" s="13"/>
      <c r="B22" s="175" t="s">
        <v>114</v>
      </c>
      <c r="C22" s="176" t="str">
        <f>INDEX(B3:B14,MATCH(MAX(C3:C14),C3:C14,0))</f>
        <v>March</v>
      </c>
      <c r="D22" s="177"/>
      <c r="E22" s="178">
        <f>MAX(C3:C14)</f>
        <v>6160</v>
      </c>
      <c r="F22" s="179"/>
      <c r="G22" s="180"/>
      <c r="H22" s="13"/>
      <c r="I22" s="13"/>
      <c r="J22" s="13"/>
      <c r="K22" s="13"/>
      <c r="L22" s="13"/>
    </row>
    <row r="23" spans="1:12" x14ac:dyDescent="0.25">
      <c r="A23" s="13"/>
      <c r="B23" s="13"/>
      <c r="C23" s="13"/>
      <c r="D23" s="13"/>
      <c r="E23" s="13"/>
      <c r="F23" s="13"/>
      <c r="G23" s="13"/>
      <c r="H23" s="13"/>
      <c r="I23" s="13"/>
      <c r="J23" s="13"/>
    </row>
    <row r="24" spans="1:12" x14ac:dyDescent="0.25">
      <c r="A24" s="13"/>
      <c r="B24" s="13"/>
      <c r="C24" s="13"/>
      <c r="D24" s="13"/>
      <c r="E24" s="13"/>
      <c r="F24" s="13"/>
      <c r="G24" s="13"/>
      <c r="H24" s="13"/>
      <c r="I24" s="13"/>
      <c r="J24" s="13"/>
    </row>
    <row r="25" spans="1:12" x14ac:dyDescent="0.25">
      <c r="A25" s="13"/>
      <c r="B25" s="13"/>
      <c r="C25" s="13"/>
      <c r="D25" s="13"/>
      <c r="E25" s="13"/>
      <c r="F25" s="13"/>
      <c r="G25" s="13"/>
      <c r="H25" s="13"/>
      <c r="I25" s="13"/>
      <c r="J25" s="13"/>
    </row>
    <row r="26" spans="1:12" x14ac:dyDescent="0.25">
      <c r="A26" s="13"/>
      <c r="B26" s="13"/>
      <c r="C26" s="13"/>
      <c r="D26" s="13"/>
      <c r="E26" s="13"/>
      <c r="F26" s="13"/>
      <c r="G26" s="13"/>
      <c r="H26" s="13"/>
      <c r="I26" s="13"/>
      <c r="J26" s="13"/>
    </row>
    <row r="27" spans="1:12" x14ac:dyDescent="0.25">
      <c r="A27" s="13"/>
      <c r="B27" s="13"/>
      <c r="C27" s="13"/>
      <c r="D27" s="13"/>
      <c r="E27" s="13"/>
      <c r="F27" s="13"/>
      <c r="G27" s="13"/>
      <c r="H27" s="13"/>
      <c r="I27" s="13"/>
      <c r="J27" s="13"/>
    </row>
    <row r="28" spans="1:12" x14ac:dyDescent="0.25">
      <c r="A28" s="13"/>
      <c r="B28" s="13"/>
      <c r="C28" s="13"/>
      <c r="D28" s="13"/>
      <c r="E28" s="13"/>
      <c r="F28" s="13"/>
      <c r="G28" s="13"/>
      <c r="H28" s="13"/>
      <c r="I28" s="13"/>
      <c r="J28" s="13"/>
    </row>
    <row r="29" spans="1:12" x14ac:dyDescent="0.25">
      <c r="A29" s="13"/>
      <c r="B29" s="13"/>
      <c r="C29" s="13"/>
      <c r="D29" s="13"/>
      <c r="E29" s="13"/>
      <c r="F29" s="13"/>
      <c r="G29" s="13"/>
      <c r="H29" s="13"/>
      <c r="I29" s="13"/>
      <c r="J29" s="13"/>
    </row>
    <row r="30" spans="1:12" x14ac:dyDescent="0.25">
      <c r="A30" s="13"/>
      <c r="B30" s="13"/>
      <c r="C30" s="13"/>
      <c r="D30" s="13"/>
      <c r="E30" s="13"/>
      <c r="F30" s="13"/>
      <c r="G30" s="13"/>
      <c r="H30" s="13"/>
      <c r="I30" s="13"/>
      <c r="J30" s="13"/>
    </row>
    <row r="31" spans="1:12" x14ac:dyDescent="0.25">
      <c r="A31" s="13"/>
      <c r="B31" s="13"/>
      <c r="C31" s="13"/>
      <c r="D31" s="13"/>
      <c r="E31" s="13"/>
      <c r="F31" s="13"/>
      <c r="G31" s="13"/>
    </row>
    <row r="32" spans="1:12" x14ac:dyDescent="0.25">
      <c r="A32" s="13"/>
      <c r="B32" s="13"/>
      <c r="C32" s="13"/>
      <c r="D32" s="13"/>
      <c r="E32" s="13"/>
      <c r="F32" s="13"/>
      <c r="G32" s="13"/>
    </row>
    <row r="33" spans="1:7" x14ac:dyDescent="0.25">
      <c r="A33" s="13"/>
      <c r="B33" s="13"/>
      <c r="C33" s="13"/>
      <c r="D33" s="13"/>
      <c r="E33" s="13"/>
      <c r="F33" s="13"/>
      <c r="G33" s="13"/>
    </row>
    <row r="34" spans="1:7" x14ac:dyDescent="0.25">
      <c r="A34" s="13"/>
      <c r="B34" s="13"/>
      <c r="C34" s="13"/>
      <c r="D34" s="13"/>
      <c r="E34" s="13"/>
      <c r="F34" s="13"/>
      <c r="G34" s="13"/>
    </row>
    <row r="35" spans="1:7" x14ac:dyDescent="0.25">
      <c r="A35" s="13"/>
      <c r="B35" s="13"/>
      <c r="C35" s="13"/>
      <c r="D35" s="13"/>
      <c r="E35" s="13"/>
      <c r="F35" s="13"/>
      <c r="G35" s="13"/>
    </row>
    <row r="36" spans="1:7" x14ac:dyDescent="0.25">
      <c r="A36" s="13"/>
      <c r="B36" s="13"/>
      <c r="C36" s="13"/>
      <c r="D36" s="13"/>
      <c r="E36" s="13"/>
      <c r="F36" s="13"/>
      <c r="G36" s="13"/>
    </row>
    <row r="37" spans="1:7" x14ac:dyDescent="0.25">
      <c r="A37" s="13"/>
      <c r="B37" s="13"/>
      <c r="C37" s="13"/>
      <c r="D37" s="13"/>
      <c r="E37" s="13"/>
      <c r="F37" s="13"/>
      <c r="G37" s="13"/>
    </row>
    <row r="38" spans="1:7" x14ac:dyDescent="0.25">
      <c r="A38" s="13"/>
      <c r="B38" s="13"/>
      <c r="C38" s="13"/>
      <c r="D38" s="13"/>
      <c r="E38" s="13"/>
      <c r="F38" s="13"/>
      <c r="G38" s="13"/>
    </row>
    <row r="39" spans="1:7" x14ac:dyDescent="0.25">
      <c r="A39" s="13"/>
      <c r="B39" s="13"/>
      <c r="C39" s="13"/>
      <c r="D39" s="13"/>
      <c r="E39" s="13"/>
      <c r="F39" s="13"/>
      <c r="G39" s="13"/>
    </row>
    <row r="40" spans="1:7" x14ac:dyDescent="0.25">
      <c r="A40" s="13"/>
      <c r="B40" s="13"/>
      <c r="C40" s="13"/>
      <c r="D40" s="13"/>
      <c r="E40" s="13"/>
      <c r="F40" s="13"/>
      <c r="G40" s="13"/>
    </row>
    <row r="41" spans="1:7" x14ac:dyDescent="0.25">
      <c r="A41" s="13"/>
      <c r="B41" s="13"/>
      <c r="C41" s="13"/>
      <c r="D41" s="13"/>
      <c r="E41" s="13"/>
      <c r="F41" s="13"/>
      <c r="G41" s="13"/>
    </row>
    <row r="42" spans="1:7" x14ac:dyDescent="0.25">
      <c r="A42" s="13"/>
      <c r="B42" s="13"/>
      <c r="C42" s="13"/>
      <c r="D42" s="13"/>
      <c r="E42" s="13"/>
      <c r="F42" s="13"/>
      <c r="G42" s="13"/>
    </row>
    <row r="43" spans="1:7" x14ac:dyDescent="0.25">
      <c r="A43" s="13"/>
      <c r="B43" s="13"/>
      <c r="C43" s="13"/>
      <c r="D43" s="13"/>
      <c r="E43" s="13"/>
      <c r="F43" s="13"/>
      <c r="G43" s="13"/>
    </row>
    <row r="44" spans="1:7" x14ac:dyDescent="0.25">
      <c r="A44" s="13"/>
      <c r="B44" s="13"/>
      <c r="C44" s="13"/>
      <c r="D44" s="13"/>
      <c r="E44" s="13"/>
      <c r="F44" s="13"/>
      <c r="G44" s="13"/>
    </row>
    <row r="45" spans="1:7" x14ac:dyDescent="0.25">
      <c r="A45" s="13"/>
      <c r="B45" s="13"/>
      <c r="C45" s="13"/>
      <c r="D45" s="13"/>
      <c r="E45" s="13"/>
      <c r="F45" s="13"/>
      <c r="G45" s="13"/>
    </row>
    <row r="46" spans="1:7" x14ac:dyDescent="0.25">
      <c r="A46" s="13"/>
      <c r="B46" s="13"/>
      <c r="C46" s="13"/>
      <c r="D46" s="13"/>
      <c r="E46" s="13"/>
      <c r="F46" s="13"/>
      <c r="G46" s="13"/>
    </row>
    <row r="47" spans="1:7" x14ac:dyDescent="0.25">
      <c r="A47" s="13"/>
      <c r="B47" s="13"/>
      <c r="C47" s="13"/>
      <c r="D47" s="13"/>
      <c r="E47" s="13"/>
      <c r="F47" s="13"/>
      <c r="G47" s="13"/>
    </row>
    <row r="48" spans="1:7" x14ac:dyDescent="0.25">
      <c r="A48" s="13"/>
      <c r="B48" s="13"/>
      <c r="C48" s="13"/>
      <c r="D48" s="13"/>
      <c r="E48" s="13"/>
      <c r="F48" s="13"/>
      <c r="G48" s="13"/>
    </row>
    <row r="49" spans="1:7" x14ac:dyDescent="0.25">
      <c r="A49" s="13"/>
      <c r="B49" s="13"/>
      <c r="C49" s="13"/>
      <c r="D49" s="13"/>
      <c r="E49" s="13"/>
      <c r="F49" s="13"/>
      <c r="G49" s="13"/>
    </row>
    <row r="50" spans="1:7" x14ac:dyDescent="0.25">
      <c r="A50" s="13"/>
      <c r="B50" s="13"/>
      <c r="C50" s="13"/>
      <c r="D50" s="13"/>
      <c r="E50" s="13"/>
      <c r="F50" s="13"/>
      <c r="G50" s="13"/>
    </row>
  </sheetData>
  <sheetProtection sheet="1" objects="1" scenarios="1"/>
  <mergeCells count="6">
    <mergeCell ref="C22:D22"/>
    <mergeCell ref="C20:D20"/>
    <mergeCell ref="C21:D21"/>
    <mergeCell ref="C19:D19"/>
    <mergeCell ref="B1:G1"/>
    <mergeCell ref="B18:G18"/>
  </mergeCells>
  <conditionalFormatting sqref="E3:E14">
    <cfRule type="cellIs" dxfId="1" priority="1" operator="greaterThanOrEqual">
      <formula>0</formula>
    </cfRule>
    <cfRule type="cellIs" dxfId="0" priority="2" operator="lessThan">
      <formula>0</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500"/>
  </sheetPr>
  <dimension ref="A1:J70"/>
  <sheetViews>
    <sheetView showGridLines="0" workbookViewId="0">
      <pane ySplit="6" topLeftCell="A7" activePane="bottomLeft" state="frozen"/>
      <selection pane="bottomLeft" activeCell="C50" sqref="C50"/>
    </sheetView>
  </sheetViews>
  <sheetFormatPr baseColWidth="10" defaultColWidth="9.140625" defaultRowHeight="15" x14ac:dyDescent="0.25"/>
  <cols>
    <col min="1" max="1" width="1.85546875" customWidth="1"/>
    <col min="2" max="2" width="6.7109375" customWidth="1"/>
    <col min="3" max="3" width="33.28515625" customWidth="1"/>
    <col min="4" max="4" width="20" customWidth="1"/>
    <col min="5" max="5" width="15.28515625" customWidth="1"/>
    <col min="6" max="6" width="30.42578125" customWidth="1"/>
    <col min="7" max="7" width="3" customWidth="1"/>
  </cols>
  <sheetData>
    <row r="1" spans="1:10" ht="36" customHeight="1" x14ac:dyDescent="0.25">
      <c r="A1" s="69"/>
      <c r="B1" s="38" t="s">
        <v>115</v>
      </c>
      <c r="C1" s="39"/>
      <c r="D1" s="39"/>
      <c r="E1" s="39"/>
      <c r="F1" s="70"/>
      <c r="G1" s="13"/>
      <c r="H1" s="13"/>
      <c r="I1" s="13"/>
      <c r="J1" s="13"/>
    </row>
    <row r="2" spans="1:10" ht="35.1" customHeight="1" x14ac:dyDescent="0.25">
      <c r="A2" s="69"/>
      <c r="B2" s="104" t="s">
        <v>116</v>
      </c>
      <c r="C2" s="105"/>
      <c r="D2" s="105"/>
      <c r="E2" s="105"/>
      <c r="F2" s="106"/>
      <c r="G2" s="13"/>
      <c r="H2" s="13"/>
      <c r="I2" s="13"/>
      <c r="J2" s="13"/>
    </row>
    <row r="3" spans="1:10" ht="6" customHeight="1" x14ac:dyDescent="0.25">
      <c r="A3" s="69"/>
      <c r="B3" s="69"/>
      <c r="C3" s="69"/>
      <c r="D3" s="69"/>
      <c r="E3" s="69"/>
      <c r="F3" s="69"/>
      <c r="G3" s="13"/>
      <c r="H3" s="13"/>
      <c r="I3" s="13"/>
      <c r="J3" s="13"/>
    </row>
    <row r="4" spans="1:10" ht="21.95" customHeight="1" x14ac:dyDescent="0.25">
      <c r="A4" s="69"/>
      <c r="B4" s="107" t="s">
        <v>117</v>
      </c>
      <c r="C4" s="108"/>
      <c r="D4" s="109" t="s">
        <v>118</v>
      </c>
      <c r="E4" s="110" t="s">
        <v>119</v>
      </c>
      <c r="F4" s="111" t="s">
        <v>120</v>
      </c>
      <c r="G4" s="13"/>
      <c r="H4" s="13"/>
      <c r="I4" s="13"/>
      <c r="J4" s="13"/>
    </row>
    <row r="5" spans="1:10" ht="6" customHeight="1" x14ac:dyDescent="0.25">
      <c r="A5" s="69"/>
      <c r="B5" s="69"/>
      <c r="C5" s="69"/>
      <c r="D5" s="69"/>
      <c r="E5" s="69"/>
      <c r="F5" s="69"/>
      <c r="G5" s="13"/>
      <c r="H5" s="13"/>
      <c r="I5" s="13"/>
      <c r="J5" s="13"/>
    </row>
    <row r="6" spans="1:10" ht="24" customHeight="1" x14ac:dyDescent="0.25">
      <c r="A6" s="69"/>
      <c r="B6" s="112" t="s">
        <v>121</v>
      </c>
      <c r="C6" s="112" t="s">
        <v>122</v>
      </c>
      <c r="D6" s="112" t="s">
        <v>123</v>
      </c>
      <c r="E6" s="112" t="s">
        <v>124</v>
      </c>
      <c r="F6" s="113" t="s">
        <v>125</v>
      </c>
      <c r="G6" s="13"/>
      <c r="H6" s="13"/>
      <c r="I6" s="13"/>
      <c r="J6" s="13"/>
    </row>
    <row r="7" spans="1:10" ht="24" customHeight="1" x14ac:dyDescent="0.25">
      <c r="A7" s="69"/>
      <c r="B7" s="114"/>
      <c r="C7" s="115" t="s">
        <v>33</v>
      </c>
      <c r="D7" s="116"/>
      <c r="E7" s="117" t="s">
        <v>126</v>
      </c>
      <c r="F7" s="118"/>
      <c r="G7" s="13"/>
      <c r="H7" s="13"/>
      <c r="I7" s="13"/>
      <c r="J7" s="13"/>
    </row>
    <row r="8" spans="1:10" ht="20.100000000000001" customHeight="1" x14ac:dyDescent="0.25">
      <c r="A8" s="69"/>
      <c r="B8" s="119">
        <v>1</v>
      </c>
      <c r="C8" s="139" t="s">
        <v>127</v>
      </c>
      <c r="D8" s="63">
        <v>1500</v>
      </c>
      <c r="E8" s="132" t="s">
        <v>126</v>
      </c>
      <c r="F8" s="133"/>
      <c r="G8" s="13"/>
      <c r="H8" s="13"/>
      <c r="I8" s="13"/>
      <c r="J8" s="13"/>
    </row>
    <row r="9" spans="1:10" ht="20.100000000000001" customHeight="1" x14ac:dyDescent="0.25">
      <c r="A9" s="69"/>
      <c r="B9" s="120">
        <v>2</v>
      </c>
      <c r="C9" s="140" t="s">
        <v>128</v>
      </c>
      <c r="D9" s="63">
        <v>100</v>
      </c>
      <c r="E9" s="132" t="s">
        <v>126</v>
      </c>
      <c r="F9" s="133"/>
      <c r="G9" s="13"/>
      <c r="H9" s="13"/>
      <c r="I9" s="13"/>
      <c r="J9" s="13"/>
    </row>
    <row r="10" spans="1:10" ht="20.100000000000001" customHeight="1" x14ac:dyDescent="0.25">
      <c r="A10" s="69"/>
      <c r="B10" s="119">
        <v>3</v>
      </c>
      <c r="C10" s="139" t="s">
        <v>129</v>
      </c>
      <c r="D10" s="63">
        <v>200</v>
      </c>
      <c r="E10" s="132" t="s">
        <v>126</v>
      </c>
      <c r="F10" s="133"/>
      <c r="G10" s="13"/>
      <c r="H10" s="13"/>
      <c r="I10" s="13"/>
      <c r="J10" s="13"/>
    </row>
    <row r="11" spans="1:10" ht="20.100000000000001" customHeight="1" x14ac:dyDescent="0.25">
      <c r="A11" s="69"/>
      <c r="B11" s="120">
        <v>4</v>
      </c>
      <c r="C11" s="140" t="s">
        <v>130</v>
      </c>
      <c r="D11" s="63">
        <v>50</v>
      </c>
      <c r="E11" s="132" t="s">
        <v>126</v>
      </c>
      <c r="F11" s="133"/>
      <c r="G11" s="13"/>
      <c r="H11" s="13"/>
      <c r="I11" s="13"/>
      <c r="J11" s="13"/>
    </row>
    <row r="12" spans="1:10" ht="20.100000000000001" customHeight="1" x14ac:dyDescent="0.25">
      <c r="A12" s="69"/>
      <c r="B12" s="119">
        <v>5</v>
      </c>
      <c r="C12" s="139" t="s">
        <v>131</v>
      </c>
      <c r="D12" s="63">
        <v>50</v>
      </c>
      <c r="E12" s="132" t="s">
        <v>126</v>
      </c>
      <c r="F12" s="133"/>
      <c r="G12" s="13"/>
      <c r="H12" s="13"/>
      <c r="I12" s="13"/>
      <c r="J12" s="13"/>
    </row>
    <row r="13" spans="1:10" ht="24" customHeight="1" x14ac:dyDescent="0.25">
      <c r="A13" s="69"/>
      <c r="B13" s="114"/>
      <c r="C13" s="115" t="s">
        <v>39</v>
      </c>
      <c r="D13" s="116"/>
      <c r="E13" s="117" t="s">
        <v>126</v>
      </c>
      <c r="F13" s="118"/>
      <c r="G13" s="13"/>
      <c r="H13" s="13"/>
      <c r="I13" s="13"/>
      <c r="J13" s="13"/>
    </row>
    <row r="14" spans="1:10" ht="20.100000000000001" customHeight="1" x14ac:dyDescent="0.25">
      <c r="A14" s="69"/>
      <c r="B14" s="119">
        <v>6</v>
      </c>
      <c r="C14" s="139" t="s">
        <v>132</v>
      </c>
      <c r="D14" s="63">
        <v>350</v>
      </c>
      <c r="E14" s="132" t="s">
        <v>126</v>
      </c>
      <c r="F14" s="133"/>
      <c r="G14" s="13"/>
      <c r="H14" s="13"/>
      <c r="I14" s="13"/>
      <c r="J14" s="13"/>
    </row>
    <row r="15" spans="1:10" ht="20.100000000000001" customHeight="1" x14ac:dyDescent="0.25">
      <c r="A15" s="69"/>
      <c r="B15" s="120">
        <v>7</v>
      </c>
      <c r="C15" s="140" t="s">
        <v>133</v>
      </c>
      <c r="D15" s="63">
        <v>150</v>
      </c>
      <c r="E15" s="132" t="s">
        <v>126</v>
      </c>
      <c r="F15" s="133"/>
      <c r="G15" s="13"/>
      <c r="H15" s="13"/>
      <c r="I15" s="13"/>
      <c r="J15" s="13"/>
    </row>
    <row r="16" spans="1:10" ht="20.100000000000001" customHeight="1" x14ac:dyDescent="0.25">
      <c r="A16" s="69"/>
      <c r="B16" s="119">
        <v>8</v>
      </c>
      <c r="C16" s="139" t="s">
        <v>134</v>
      </c>
      <c r="D16" s="63">
        <v>100</v>
      </c>
      <c r="E16" s="132" t="s">
        <v>126</v>
      </c>
      <c r="F16" s="133"/>
      <c r="G16" s="13"/>
      <c r="H16" s="13"/>
      <c r="I16" s="13"/>
      <c r="J16" s="13"/>
    </row>
    <row r="17" spans="1:10" ht="20.100000000000001" customHeight="1" x14ac:dyDescent="0.25">
      <c r="A17" s="69"/>
      <c r="B17" s="120">
        <v>9</v>
      </c>
      <c r="C17" s="140" t="s">
        <v>135</v>
      </c>
      <c r="D17" s="63">
        <v>50</v>
      </c>
      <c r="E17" s="132" t="s">
        <v>126</v>
      </c>
      <c r="F17" s="133"/>
      <c r="G17" s="13"/>
      <c r="H17" s="13"/>
      <c r="I17" s="13"/>
      <c r="J17" s="13"/>
    </row>
    <row r="18" spans="1:10" ht="20.100000000000001" customHeight="1" x14ac:dyDescent="0.25">
      <c r="A18" s="69"/>
      <c r="B18" s="119">
        <v>10</v>
      </c>
      <c r="C18" s="139" t="s">
        <v>136</v>
      </c>
      <c r="D18" s="63">
        <v>30</v>
      </c>
      <c r="E18" s="132" t="s">
        <v>126</v>
      </c>
      <c r="F18" s="133"/>
      <c r="G18" s="13"/>
      <c r="H18" s="13"/>
      <c r="I18" s="13"/>
      <c r="J18" s="13"/>
    </row>
    <row r="19" spans="1:10" ht="24" customHeight="1" x14ac:dyDescent="0.25">
      <c r="A19" s="69"/>
      <c r="B19" s="114"/>
      <c r="C19" s="115" t="s">
        <v>45</v>
      </c>
      <c r="D19" s="116"/>
      <c r="E19" s="117" t="s">
        <v>126</v>
      </c>
      <c r="F19" s="118"/>
      <c r="G19" s="13"/>
      <c r="H19" s="13"/>
      <c r="I19" s="13"/>
      <c r="J19" s="13"/>
    </row>
    <row r="20" spans="1:10" ht="20.100000000000001" customHeight="1" x14ac:dyDescent="0.25">
      <c r="A20" s="69"/>
      <c r="B20" s="119">
        <v>11</v>
      </c>
      <c r="C20" s="139" t="s">
        <v>137</v>
      </c>
      <c r="D20" s="63">
        <v>500</v>
      </c>
      <c r="E20" s="132" t="s">
        <v>126</v>
      </c>
      <c r="F20" s="133"/>
      <c r="G20" s="13"/>
      <c r="H20" s="13"/>
      <c r="I20" s="13"/>
      <c r="J20" s="13"/>
    </row>
    <row r="21" spans="1:10" ht="20.100000000000001" customHeight="1" x14ac:dyDescent="0.25">
      <c r="A21" s="69"/>
      <c r="B21" s="120">
        <v>12</v>
      </c>
      <c r="C21" s="140" t="s">
        <v>138</v>
      </c>
      <c r="D21" s="63">
        <v>200</v>
      </c>
      <c r="E21" s="132" t="s">
        <v>126</v>
      </c>
      <c r="F21" s="133"/>
      <c r="G21" s="13"/>
      <c r="H21" s="13"/>
      <c r="I21" s="13"/>
      <c r="J21" s="13"/>
    </row>
    <row r="22" spans="1:10" ht="20.100000000000001" customHeight="1" x14ac:dyDescent="0.25">
      <c r="A22" s="69"/>
      <c r="B22" s="119">
        <v>13</v>
      </c>
      <c r="C22" s="139" t="s">
        <v>139</v>
      </c>
      <c r="D22" s="63">
        <v>50</v>
      </c>
      <c r="E22" s="132" t="s">
        <v>126</v>
      </c>
      <c r="F22" s="133"/>
      <c r="G22" s="13"/>
      <c r="H22" s="13"/>
      <c r="I22" s="13"/>
      <c r="J22" s="13"/>
    </row>
    <row r="23" spans="1:10" ht="24" customHeight="1" x14ac:dyDescent="0.25">
      <c r="A23" s="69"/>
      <c r="B23" s="114"/>
      <c r="C23" s="115" t="s">
        <v>49</v>
      </c>
      <c r="D23" s="116"/>
      <c r="E23" s="117" t="s">
        <v>126</v>
      </c>
      <c r="F23" s="118"/>
      <c r="G23" s="13"/>
      <c r="H23" s="13"/>
      <c r="I23" s="13"/>
      <c r="J23" s="13"/>
    </row>
    <row r="24" spans="1:10" ht="20.100000000000001" customHeight="1" x14ac:dyDescent="0.25">
      <c r="A24" s="69"/>
      <c r="B24" s="119">
        <v>14</v>
      </c>
      <c r="C24" s="139" t="s">
        <v>140</v>
      </c>
      <c r="D24" s="63">
        <v>120</v>
      </c>
      <c r="E24" s="132" t="s">
        <v>126</v>
      </c>
      <c r="F24" s="133"/>
      <c r="G24" s="13"/>
      <c r="H24" s="13"/>
      <c r="I24" s="13"/>
      <c r="J24" s="13"/>
    </row>
    <row r="25" spans="1:10" ht="20.100000000000001" customHeight="1" x14ac:dyDescent="0.25">
      <c r="A25" s="69"/>
      <c r="B25" s="120">
        <v>15</v>
      </c>
      <c r="C25" s="140" t="s">
        <v>141</v>
      </c>
      <c r="D25" s="63">
        <v>80</v>
      </c>
      <c r="E25" s="132" t="s">
        <v>126</v>
      </c>
      <c r="F25" s="133"/>
      <c r="G25" s="13"/>
      <c r="H25" s="13"/>
      <c r="I25" s="13"/>
      <c r="J25" s="13"/>
    </row>
    <row r="26" spans="1:10" ht="20.100000000000001" customHeight="1" x14ac:dyDescent="0.25">
      <c r="A26" s="69"/>
      <c r="B26" s="119">
        <v>16</v>
      </c>
      <c r="C26" s="139" t="s">
        <v>142</v>
      </c>
      <c r="D26" s="63">
        <v>40</v>
      </c>
      <c r="E26" s="132" t="s">
        <v>126</v>
      </c>
      <c r="F26" s="133"/>
      <c r="G26" s="13"/>
      <c r="H26" s="13"/>
      <c r="I26" s="13"/>
      <c r="J26" s="13"/>
    </row>
    <row r="27" spans="1:10" ht="20.100000000000001" customHeight="1" x14ac:dyDescent="0.25">
      <c r="A27" s="69"/>
      <c r="B27" s="120">
        <v>17</v>
      </c>
      <c r="C27" s="140" t="s">
        <v>143</v>
      </c>
      <c r="D27" s="63">
        <v>60</v>
      </c>
      <c r="E27" s="132" t="s">
        <v>126</v>
      </c>
      <c r="F27" s="133"/>
      <c r="G27" s="13"/>
      <c r="H27" s="13"/>
      <c r="I27" s="13"/>
      <c r="J27" s="13"/>
    </row>
    <row r="28" spans="1:10" ht="20.100000000000001" customHeight="1" x14ac:dyDescent="0.25">
      <c r="A28" s="69"/>
      <c r="B28" s="119">
        <v>18</v>
      </c>
      <c r="C28" s="139" t="s">
        <v>144</v>
      </c>
      <c r="D28" s="63">
        <v>80</v>
      </c>
      <c r="E28" s="132" t="s">
        <v>126</v>
      </c>
      <c r="F28" s="133"/>
      <c r="G28" s="13"/>
      <c r="H28" s="13"/>
      <c r="I28" s="13"/>
      <c r="J28" s="13"/>
    </row>
    <row r="29" spans="1:10" ht="24" customHeight="1" x14ac:dyDescent="0.25">
      <c r="A29" s="69"/>
      <c r="B29" s="114"/>
      <c r="C29" s="115" t="s">
        <v>55</v>
      </c>
      <c r="D29" s="116"/>
      <c r="E29" s="117" t="s">
        <v>126</v>
      </c>
      <c r="F29" s="118"/>
      <c r="G29" s="13"/>
      <c r="H29" s="13"/>
      <c r="I29" s="13"/>
      <c r="J29" s="13"/>
    </row>
    <row r="30" spans="1:10" ht="20.100000000000001" customHeight="1" x14ac:dyDescent="0.25">
      <c r="A30" s="69"/>
      <c r="B30" s="119">
        <v>19</v>
      </c>
      <c r="C30" s="139" t="s">
        <v>145</v>
      </c>
      <c r="D30" s="63">
        <v>250</v>
      </c>
      <c r="E30" s="132" t="s">
        <v>126</v>
      </c>
      <c r="F30" s="133"/>
      <c r="G30" s="13"/>
      <c r="H30" s="13"/>
      <c r="I30" s="13"/>
      <c r="J30" s="13"/>
    </row>
    <row r="31" spans="1:10" ht="20.100000000000001" customHeight="1" x14ac:dyDescent="0.25">
      <c r="A31" s="69"/>
      <c r="B31" s="120">
        <v>20</v>
      </c>
      <c r="C31" s="140" t="s">
        <v>146</v>
      </c>
      <c r="D31" s="63">
        <v>30</v>
      </c>
      <c r="E31" s="132" t="s">
        <v>126</v>
      </c>
      <c r="F31" s="133"/>
      <c r="G31" s="13"/>
      <c r="H31" s="13"/>
      <c r="I31" s="13"/>
      <c r="J31" s="13"/>
    </row>
    <row r="32" spans="1:10" ht="20.100000000000001" customHeight="1" x14ac:dyDescent="0.25">
      <c r="A32" s="69"/>
      <c r="B32" s="119">
        <v>21</v>
      </c>
      <c r="C32" s="139" t="s">
        <v>147</v>
      </c>
      <c r="D32" s="63">
        <v>50</v>
      </c>
      <c r="E32" s="132" t="s">
        <v>126</v>
      </c>
      <c r="F32" s="133"/>
      <c r="G32" s="13"/>
      <c r="H32" s="13"/>
      <c r="I32" s="13"/>
      <c r="J32" s="13"/>
    </row>
    <row r="33" spans="1:10" ht="20.100000000000001" customHeight="1" x14ac:dyDescent="0.25">
      <c r="A33" s="69"/>
      <c r="B33" s="120">
        <v>22</v>
      </c>
      <c r="C33" s="140" t="s">
        <v>148</v>
      </c>
      <c r="D33" s="63">
        <v>40</v>
      </c>
      <c r="E33" s="132" t="s">
        <v>126</v>
      </c>
      <c r="F33" s="133"/>
      <c r="G33" s="13"/>
      <c r="H33" s="13"/>
      <c r="I33" s="13"/>
      <c r="J33" s="13"/>
    </row>
    <row r="34" spans="1:10" ht="24" customHeight="1" x14ac:dyDescent="0.25">
      <c r="A34" s="69"/>
      <c r="B34" s="114"/>
      <c r="C34" s="115" t="s">
        <v>60</v>
      </c>
      <c r="D34" s="116"/>
      <c r="E34" s="117" t="s">
        <v>126</v>
      </c>
      <c r="F34" s="118"/>
      <c r="G34" s="13"/>
      <c r="H34" s="13"/>
      <c r="I34" s="13"/>
      <c r="J34" s="13"/>
    </row>
    <row r="35" spans="1:10" ht="20.100000000000001" customHeight="1" x14ac:dyDescent="0.25">
      <c r="A35" s="69"/>
      <c r="B35" s="119">
        <v>23</v>
      </c>
      <c r="C35" s="139" t="s">
        <v>149</v>
      </c>
      <c r="D35" s="63">
        <v>200</v>
      </c>
      <c r="E35" s="132" t="s">
        <v>126</v>
      </c>
      <c r="F35" s="133"/>
      <c r="G35" s="13"/>
      <c r="H35" s="13"/>
      <c r="I35" s="13"/>
      <c r="J35" s="13"/>
    </row>
    <row r="36" spans="1:10" ht="20.100000000000001" customHeight="1" x14ac:dyDescent="0.25">
      <c r="A36" s="69"/>
      <c r="B36" s="120">
        <v>24</v>
      </c>
      <c r="C36" s="140" t="s">
        <v>150</v>
      </c>
      <c r="D36" s="63">
        <v>20</v>
      </c>
      <c r="E36" s="132" t="s">
        <v>126</v>
      </c>
      <c r="F36" s="133"/>
      <c r="G36" s="13"/>
      <c r="H36" s="13"/>
      <c r="I36" s="13"/>
      <c r="J36" s="13"/>
    </row>
    <row r="37" spans="1:10" ht="20.100000000000001" customHeight="1" x14ac:dyDescent="0.25">
      <c r="A37" s="69"/>
      <c r="B37" s="119">
        <v>25</v>
      </c>
      <c r="C37" s="139" t="s">
        <v>151</v>
      </c>
      <c r="D37" s="63">
        <v>15</v>
      </c>
      <c r="E37" s="132" t="s">
        <v>126</v>
      </c>
      <c r="F37" s="133"/>
      <c r="G37" s="13"/>
      <c r="H37" s="13"/>
      <c r="I37" s="13"/>
      <c r="J37" s="13"/>
    </row>
    <row r="38" spans="1:10" ht="24" customHeight="1" x14ac:dyDescent="0.25">
      <c r="A38" s="69"/>
      <c r="B38" s="114"/>
      <c r="C38" s="115" t="s">
        <v>64</v>
      </c>
      <c r="D38" s="116"/>
      <c r="E38" s="117" t="s">
        <v>152</v>
      </c>
      <c r="F38" s="118"/>
      <c r="G38" s="13"/>
      <c r="H38" s="13"/>
      <c r="I38" s="13"/>
      <c r="J38" s="13"/>
    </row>
    <row r="39" spans="1:10" ht="20.100000000000001" customHeight="1" x14ac:dyDescent="0.25">
      <c r="A39" s="69"/>
      <c r="B39" s="119">
        <v>26</v>
      </c>
      <c r="C39" s="139" t="s">
        <v>153</v>
      </c>
      <c r="D39" s="63">
        <v>100</v>
      </c>
      <c r="E39" s="134" t="s">
        <v>152</v>
      </c>
      <c r="F39" s="133"/>
      <c r="G39" s="13"/>
      <c r="H39" s="13"/>
      <c r="I39" s="13"/>
      <c r="J39" s="13"/>
    </row>
    <row r="40" spans="1:10" ht="20.100000000000001" customHeight="1" x14ac:dyDescent="0.25">
      <c r="A40" s="69"/>
      <c r="B40" s="120">
        <v>27</v>
      </c>
      <c r="C40" s="140" t="s">
        <v>154</v>
      </c>
      <c r="D40" s="63">
        <v>40</v>
      </c>
      <c r="E40" s="134" t="s">
        <v>152</v>
      </c>
      <c r="F40" s="133"/>
      <c r="G40" s="13"/>
      <c r="H40" s="13"/>
      <c r="I40" s="13"/>
      <c r="J40" s="13"/>
    </row>
    <row r="41" spans="1:10" ht="20.100000000000001" customHeight="1" x14ac:dyDescent="0.25">
      <c r="A41" s="69"/>
      <c r="B41" s="119">
        <v>28</v>
      </c>
      <c r="C41" s="139" t="s">
        <v>155</v>
      </c>
      <c r="D41" s="63">
        <v>50</v>
      </c>
      <c r="E41" s="134" t="s">
        <v>152</v>
      </c>
      <c r="F41" s="133"/>
      <c r="G41" s="13"/>
      <c r="H41" s="13"/>
      <c r="I41" s="13"/>
      <c r="J41" s="13"/>
    </row>
    <row r="42" spans="1:10" ht="24" customHeight="1" x14ac:dyDescent="0.25">
      <c r="A42" s="69"/>
      <c r="B42" s="114"/>
      <c r="C42" s="115" t="s">
        <v>68</v>
      </c>
      <c r="D42" s="116"/>
      <c r="E42" s="117" t="s">
        <v>152</v>
      </c>
      <c r="F42" s="118"/>
      <c r="G42" s="13"/>
      <c r="H42" s="13"/>
      <c r="I42" s="13"/>
      <c r="J42" s="13"/>
    </row>
    <row r="43" spans="1:10" ht="20.100000000000001" customHeight="1" x14ac:dyDescent="0.25">
      <c r="A43" s="69"/>
      <c r="B43" s="119">
        <v>29</v>
      </c>
      <c r="C43" s="139" t="s">
        <v>156</v>
      </c>
      <c r="D43" s="63">
        <v>30</v>
      </c>
      <c r="E43" s="134" t="s">
        <v>152</v>
      </c>
      <c r="F43" s="133"/>
      <c r="G43" s="13"/>
      <c r="H43" s="13"/>
      <c r="I43" s="13"/>
      <c r="J43" s="13"/>
    </row>
    <row r="44" spans="1:10" ht="20.100000000000001" customHeight="1" x14ac:dyDescent="0.25">
      <c r="A44" s="69"/>
      <c r="B44" s="120">
        <v>30</v>
      </c>
      <c r="C44" s="140" t="s">
        <v>157</v>
      </c>
      <c r="D44" s="63">
        <v>50</v>
      </c>
      <c r="E44" s="134" t="s">
        <v>152</v>
      </c>
      <c r="F44" s="133"/>
      <c r="G44" s="13"/>
      <c r="H44" s="13"/>
      <c r="I44" s="13"/>
      <c r="J44" s="13"/>
    </row>
    <row r="45" spans="1:10" ht="20.100000000000001" customHeight="1" x14ac:dyDescent="0.25">
      <c r="A45" s="69"/>
      <c r="B45" s="119">
        <v>31</v>
      </c>
      <c r="C45" s="139" t="s">
        <v>158</v>
      </c>
      <c r="D45" s="63">
        <v>75</v>
      </c>
      <c r="E45" s="134" t="s">
        <v>152</v>
      </c>
      <c r="F45" s="133"/>
      <c r="G45" s="13"/>
      <c r="H45" s="13"/>
      <c r="I45" s="13"/>
      <c r="J45" s="13"/>
    </row>
    <row r="46" spans="1:10" ht="24" customHeight="1" x14ac:dyDescent="0.25">
      <c r="A46" s="69"/>
      <c r="B46" s="114"/>
      <c r="C46" s="115" t="s">
        <v>72</v>
      </c>
      <c r="D46" s="116"/>
      <c r="E46" s="117" t="s">
        <v>159</v>
      </c>
      <c r="F46" s="118"/>
      <c r="G46" s="13"/>
      <c r="H46" s="13"/>
      <c r="I46" s="13"/>
      <c r="J46" s="13"/>
    </row>
    <row r="47" spans="1:10" ht="20.100000000000001" customHeight="1" x14ac:dyDescent="0.25">
      <c r="A47" s="69"/>
      <c r="B47" s="119">
        <v>32</v>
      </c>
      <c r="C47" s="139" t="s">
        <v>160</v>
      </c>
      <c r="D47" s="63">
        <v>200</v>
      </c>
      <c r="E47" s="135" t="s">
        <v>159</v>
      </c>
      <c r="F47" s="133"/>
      <c r="G47" s="13"/>
      <c r="H47" s="13"/>
      <c r="I47" s="13"/>
      <c r="J47" s="13"/>
    </row>
    <row r="48" spans="1:10" ht="20.100000000000001" customHeight="1" x14ac:dyDescent="0.25">
      <c r="A48" s="69"/>
      <c r="B48" s="120">
        <v>33</v>
      </c>
      <c r="C48" s="140" t="s">
        <v>161</v>
      </c>
      <c r="D48" s="63">
        <v>300</v>
      </c>
      <c r="E48" s="135" t="s">
        <v>159</v>
      </c>
      <c r="F48" s="133"/>
      <c r="G48" s="13"/>
      <c r="H48" s="13"/>
      <c r="I48" s="13"/>
      <c r="J48" s="13"/>
    </row>
    <row r="49" spans="1:10" ht="20.100000000000001" customHeight="1" x14ac:dyDescent="0.25">
      <c r="A49" s="69"/>
      <c r="B49" s="119">
        <v>34</v>
      </c>
      <c r="C49" s="139" t="s">
        <v>162</v>
      </c>
      <c r="D49" s="63">
        <v>150</v>
      </c>
      <c r="E49" s="135" t="s">
        <v>159</v>
      </c>
      <c r="F49" s="133"/>
      <c r="G49" s="13"/>
      <c r="H49" s="13"/>
      <c r="I49" s="13"/>
      <c r="J49" s="13"/>
    </row>
    <row r="50" spans="1:10" ht="24" customHeight="1" x14ac:dyDescent="0.25">
      <c r="A50" s="69"/>
      <c r="B50" s="114"/>
      <c r="C50" s="115" t="s">
        <v>76</v>
      </c>
      <c r="D50" s="116"/>
      <c r="E50" s="117" t="s">
        <v>152</v>
      </c>
      <c r="F50" s="118"/>
      <c r="G50" s="13"/>
      <c r="H50" s="13"/>
      <c r="I50" s="13"/>
      <c r="J50" s="13"/>
    </row>
    <row r="51" spans="1:10" ht="20.100000000000001" customHeight="1" x14ac:dyDescent="0.25">
      <c r="A51" s="69"/>
      <c r="B51" s="119">
        <v>35</v>
      </c>
      <c r="C51" s="139" t="s">
        <v>163</v>
      </c>
      <c r="D51" s="63">
        <v>50</v>
      </c>
      <c r="E51" s="134" t="s">
        <v>152</v>
      </c>
      <c r="F51" s="133"/>
      <c r="G51" s="13"/>
      <c r="H51" s="13"/>
      <c r="I51" s="13"/>
      <c r="J51" s="13"/>
    </row>
    <row r="52" spans="1:10" ht="20.100000000000001" customHeight="1" x14ac:dyDescent="0.25">
      <c r="A52" s="69"/>
      <c r="B52" s="120">
        <v>36</v>
      </c>
      <c r="C52" s="140" t="s">
        <v>164</v>
      </c>
      <c r="D52" s="63">
        <v>50</v>
      </c>
      <c r="E52" s="134" t="s">
        <v>152</v>
      </c>
      <c r="F52" s="133"/>
      <c r="G52" s="13"/>
      <c r="H52" s="13"/>
      <c r="I52" s="13"/>
      <c r="J52" s="13"/>
    </row>
    <row r="53" spans="1:10" ht="20.100000000000001" customHeight="1" x14ac:dyDescent="0.25">
      <c r="A53" s="69"/>
      <c r="B53" s="121">
        <v>37</v>
      </c>
      <c r="C53" s="141" t="s">
        <v>165</v>
      </c>
      <c r="D53" s="137">
        <v>50</v>
      </c>
      <c r="E53" s="136" t="s">
        <v>152</v>
      </c>
      <c r="F53" s="138"/>
      <c r="G53" s="13"/>
      <c r="H53" s="13"/>
      <c r="I53" s="13"/>
      <c r="J53" s="13"/>
    </row>
    <row r="54" spans="1:10" ht="6" customHeight="1" x14ac:dyDescent="0.25">
      <c r="A54" s="69"/>
      <c r="B54" s="69"/>
      <c r="C54" s="69"/>
      <c r="D54" s="69"/>
      <c r="E54" s="69"/>
      <c r="F54" s="69"/>
      <c r="G54" s="13"/>
      <c r="H54" s="13"/>
      <c r="I54" s="13"/>
      <c r="J54" s="13"/>
    </row>
    <row r="55" spans="1:10" ht="26.1" customHeight="1" x14ac:dyDescent="0.25">
      <c r="A55" s="69"/>
      <c r="B55" s="122"/>
      <c r="C55" s="123" t="s">
        <v>166</v>
      </c>
      <c r="D55" s="124">
        <f>SUM(D7:D54)</f>
        <v>5460</v>
      </c>
      <c r="E55" s="125"/>
      <c r="F55" s="126"/>
      <c r="G55" s="13"/>
      <c r="H55" s="13"/>
      <c r="I55" s="13"/>
      <c r="J55" s="13"/>
    </row>
    <row r="56" spans="1:10" ht="24" customHeight="1" x14ac:dyDescent="0.25">
      <c r="A56" s="69"/>
      <c r="B56" s="127"/>
      <c r="C56" s="128" t="s">
        <v>167</v>
      </c>
      <c r="D56" s="129">
        <f>D55*12</f>
        <v>65520</v>
      </c>
      <c r="E56" s="130"/>
      <c r="F56" s="131"/>
      <c r="G56" s="13"/>
      <c r="H56" s="13"/>
      <c r="I56" s="13"/>
      <c r="J56" s="13"/>
    </row>
    <row r="57" spans="1:10" x14ac:dyDescent="0.25">
      <c r="A57" s="13"/>
      <c r="B57" s="13"/>
      <c r="C57" s="13"/>
      <c r="D57" s="13"/>
      <c r="E57" s="13"/>
      <c r="F57" s="13"/>
      <c r="G57" s="13"/>
      <c r="H57" s="13"/>
      <c r="I57" s="13"/>
      <c r="J57" s="13"/>
    </row>
    <row r="58" spans="1:10" x14ac:dyDescent="0.25">
      <c r="A58" s="13"/>
      <c r="B58" s="13"/>
      <c r="C58" s="13"/>
      <c r="D58" s="13"/>
      <c r="E58" s="13"/>
      <c r="F58" s="13"/>
      <c r="G58" s="13"/>
      <c r="H58" s="13"/>
      <c r="I58" s="13"/>
      <c r="J58" s="13"/>
    </row>
    <row r="59" spans="1:10" x14ac:dyDescent="0.25">
      <c r="A59" s="13"/>
      <c r="B59" s="13"/>
      <c r="C59" s="13"/>
      <c r="D59" s="13"/>
      <c r="E59" s="13"/>
      <c r="F59" s="13"/>
      <c r="G59" s="13"/>
      <c r="H59" s="13"/>
      <c r="I59" s="13"/>
      <c r="J59" s="13"/>
    </row>
    <row r="60" spans="1:10" x14ac:dyDescent="0.25">
      <c r="A60" s="13"/>
      <c r="B60" s="13"/>
      <c r="C60" s="13"/>
      <c r="D60" s="13"/>
      <c r="E60" s="13"/>
      <c r="F60" s="13"/>
      <c r="G60" s="13"/>
      <c r="H60" s="13"/>
      <c r="I60" s="13"/>
      <c r="J60" s="13"/>
    </row>
    <row r="61" spans="1:10" x14ac:dyDescent="0.25">
      <c r="A61" s="13"/>
      <c r="B61" s="13"/>
      <c r="C61" s="13"/>
      <c r="D61" s="13"/>
      <c r="E61" s="13"/>
      <c r="F61" s="13"/>
      <c r="G61" s="13"/>
      <c r="H61" s="13"/>
      <c r="I61" s="13"/>
      <c r="J61" s="13"/>
    </row>
    <row r="62" spans="1:10" x14ac:dyDescent="0.25">
      <c r="A62" s="13"/>
      <c r="B62" s="13"/>
      <c r="C62" s="13"/>
      <c r="D62" s="13"/>
      <c r="E62" s="13"/>
      <c r="F62" s="13"/>
      <c r="G62" s="13"/>
      <c r="H62" s="13"/>
      <c r="I62" s="13"/>
      <c r="J62" s="13"/>
    </row>
    <row r="63" spans="1:10" x14ac:dyDescent="0.25">
      <c r="A63" s="13"/>
      <c r="B63" s="13"/>
      <c r="C63" s="13"/>
      <c r="D63" s="13"/>
      <c r="E63" s="13"/>
      <c r="F63" s="13"/>
      <c r="G63" s="13"/>
      <c r="H63" s="13"/>
      <c r="I63" s="13"/>
      <c r="J63" s="13"/>
    </row>
    <row r="64" spans="1:10" x14ac:dyDescent="0.25">
      <c r="A64" s="13"/>
      <c r="B64" s="13"/>
      <c r="C64" s="13"/>
      <c r="D64" s="13"/>
      <c r="E64" s="13"/>
      <c r="F64" s="13"/>
      <c r="G64" s="13"/>
      <c r="H64" s="13"/>
      <c r="I64" s="13"/>
      <c r="J64" s="13"/>
    </row>
    <row r="65" spans="1:10" x14ac:dyDescent="0.25">
      <c r="A65" s="13"/>
      <c r="B65" s="13"/>
      <c r="C65" s="13"/>
      <c r="D65" s="13"/>
      <c r="E65" s="13"/>
      <c r="F65" s="13"/>
      <c r="G65" s="13"/>
      <c r="H65" s="13"/>
      <c r="I65" s="13"/>
      <c r="J65" s="13"/>
    </row>
    <row r="66" spans="1:10" x14ac:dyDescent="0.25">
      <c r="A66" s="13"/>
      <c r="B66" s="13"/>
      <c r="C66" s="13"/>
      <c r="D66" s="13"/>
      <c r="E66" s="13"/>
      <c r="F66" s="13"/>
      <c r="G66" s="13"/>
      <c r="H66" s="13"/>
      <c r="I66" s="13"/>
      <c r="J66" s="13"/>
    </row>
    <row r="67" spans="1:10" x14ac:dyDescent="0.25">
      <c r="A67" s="13"/>
      <c r="B67" s="13"/>
      <c r="C67" s="13"/>
      <c r="D67" s="13"/>
      <c r="E67" s="13"/>
      <c r="F67" s="13"/>
      <c r="G67" s="13"/>
      <c r="H67" s="13"/>
      <c r="I67" s="13"/>
      <c r="J67" s="13"/>
    </row>
    <row r="68" spans="1:10" x14ac:dyDescent="0.25">
      <c r="A68" s="13"/>
      <c r="B68" s="13"/>
      <c r="C68" s="13"/>
      <c r="D68" s="13"/>
      <c r="E68" s="13"/>
      <c r="F68" s="13"/>
      <c r="G68" s="13"/>
      <c r="H68" s="13"/>
      <c r="I68" s="13"/>
      <c r="J68" s="13"/>
    </row>
    <row r="69" spans="1:10" x14ac:dyDescent="0.25">
      <c r="A69" s="13"/>
      <c r="B69" s="13"/>
      <c r="C69" s="13"/>
      <c r="D69" s="13"/>
      <c r="E69" s="13"/>
      <c r="F69" s="13"/>
      <c r="G69" s="13"/>
      <c r="H69" s="13"/>
      <c r="I69" s="13"/>
      <c r="J69" s="13"/>
    </row>
    <row r="70" spans="1:10" x14ac:dyDescent="0.25">
      <c r="A70" s="13"/>
      <c r="B70" s="13"/>
      <c r="C70" s="13"/>
      <c r="D70" s="13"/>
      <c r="E70" s="13"/>
      <c r="F70" s="13"/>
      <c r="G70" s="13"/>
      <c r="H70" s="13"/>
      <c r="I70" s="13"/>
      <c r="J70" s="13"/>
    </row>
  </sheetData>
  <sheetProtection sheet="1" objects="1" scenarios="1" formatColumns="0" formatRows="0"/>
  <mergeCells count="3">
    <mergeCell ref="B2:F2"/>
    <mergeCell ref="B4:C4"/>
    <mergeCell ref="B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86868B"/>
  </sheetPr>
  <dimension ref="A1:D69"/>
  <sheetViews>
    <sheetView showGridLines="0" tabSelected="1" workbookViewId="0">
      <pane ySplit="3" topLeftCell="A4" activePane="bottomLeft" state="frozen"/>
      <selection pane="bottomLeft" activeCell="E13" sqref="E13"/>
    </sheetView>
  </sheetViews>
  <sheetFormatPr baseColWidth="10" defaultColWidth="9.140625" defaultRowHeight="15" x14ac:dyDescent="0.25"/>
  <cols>
    <col min="1" max="1" width="1.85546875" customWidth="1"/>
    <col min="2" max="2" width="99" customWidth="1"/>
    <col min="3" max="3" width="1.85546875" customWidth="1"/>
  </cols>
  <sheetData>
    <row r="1" spans="1:4" ht="6" customHeight="1" x14ac:dyDescent="0.25">
      <c r="A1" s="12"/>
      <c r="B1" s="12"/>
      <c r="C1" s="12"/>
      <c r="D1" s="12"/>
    </row>
    <row r="2" spans="1:4" ht="39.950000000000003" customHeight="1" x14ac:dyDescent="0.45">
      <c r="A2" s="12"/>
      <c r="B2" s="90" t="s">
        <v>0</v>
      </c>
      <c r="C2" s="12"/>
      <c r="D2" s="12"/>
    </row>
    <row r="3" spans="1:4" ht="26.1" customHeight="1" x14ac:dyDescent="0.3">
      <c r="A3" s="12"/>
      <c r="B3" s="91" t="s">
        <v>168</v>
      </c>
      <c r="C3" s="12"/>
      <c r="D3" s="12"/>
    </row>
    <row r="4" spans="1:4" ht="9.9499999999999993" customHeight="1" x14ac:dyDescent="0.25">
      <c r="A4" s="12"/>
      <c r="B4" s="12"/>
      <c r="C4" s="12"/>
      <c r="D4" s="12"/>
    </row>
    <row r="5" spans="1:4" ht="27.95" customHeight="1" x14ac:dyDescent="0.35">
      <c r="A5" s="12"/>
      <c r="B5" s="92" t="s">
        <v>169</v>
      </c>
      <c r="C5" s="12"/>
      <c r="D5" s="12"/>
    </row>
    <row r="6" spans="1:4" ht="69.95" customHeight="1" x14ac:dyDescent="0.25">
      <c r="A6" s="12"/>
      <c r="B6" s="93" t="s">
        <v>170</v>
      </c>
      <c r="C6" s="12"/>
      <c r="D6" s="12"/>
    </row>
    <row r="7" spans="1:4" ht="9.9499999999999993" customHeight="1" x14ac:dyDescent="0.25">
      <c r="A7" s="12"/>
      <c r="B7" s="12"/>
      <c r="C7" s="12"/>
      <c r="D7" s="12"/>
    </row>
    <row r="8" spans="1:4" ht="27.95" customHeight="1" x14ac:dyDescent="0.3">
      <c r="A8" s="12"/>
      <c r="B8" s="94" t="s">
        <v>171</v>
      </c>
      <c r="C8" s="12"/>
      <c r="D8" s="12"/>
    </row>
    <row r="9" spans="1:4" ht="24" customHeight="1" x14ac:dyDescent="0.25">
      <c r="A9" s="12"/>
      <c r="B9" s="95" t="s">
        <v>172</v>
      </c>
      <c r="C9" s="12"/>
      <c r="D9" s="12"/>
    </row>
    <row r="10" spans="1:4" ht="36" customHeight="1" x14ac:dyDescent="0.25">
      <c r="A10" s="12"/>
      <c r="B10" s="96" t="s">
        <v>173</v>
      </c>
      <c r="C10" s="12"/>
      <c r="D10" s="12"/>
    </row>
    <row r="11" spans="1:4" ht="24" customHeight="1" x14ac:dyDescent="0.25">
      <c r="A11" s="12"/>
      <c r="B11" s="95" t="s">
        <v>174</v>
      </c>
      <c r="C11" s="12"/>
      <c r="D11" s="12"/>
    </row>
    <row r="12" spans="1:4" ht="36" customHeight="1" x14ac:dyDescent="0.25">
      <c r="A12" s="12"/>
      <c r="B12" s="96" t="s">
        <v>175</v>
      </c>
      <c r="C12" s="12"/>
      <c r="D12" s="12"/>
    </row>
    <row r="13" spans="1:4" ht="24" customHeight="1" x14ac:dyDescent="0.25">
      <c r="A13" s="12"/>
      <c r="B13" s="95" t="s">
        <v>176</v>
      </c>
      <c r="C13" s="12"/>
      <c r="D13" s="12"/>
    </row>
    <row r="14" spans="1:4" ht="36" customHeight="1" x14ac:dyDescent="0.25">
      <c r="A14" s="12"/>
      <c r="B14" s="96" t="s">
        <v>177</v>
      </c>
      <c r="C14" s="12"/>
      <c r="D14" s="12"/>
    </row>
    <row r="15" spans="1:4" ht="24" customHeight="1" x14ac:dyDescent="0.25">
      <c r="A15" s="12"/>
      <c r="B15" s="95" t="s">
        <v>178</v>
      </c>
      <c r="C15" s="12"/>
      <c r="D15" s="12"/>
    </row>
    <row r="16" spans="1:4" ht="36" customHeight="1" x14ac:dyDescent="0.25">
      <c r="A16" s="12"/>
      <c r="B16" s="96" t="s">
        <v>179</v>
      </c>
      <c r="C16" s="12"/>
      <c r="D16" s="12"/>
    </row>
    <row r="17" spans="1:4" ht="24" customHeight="1" x14ac:dyDescent="0.25">
      <c r="A17" s="12"/>
      <c r="B17" s="95" t="s">
        <v>180</v>
      </c>
      <c r="C17" s="12"/>
      <c r="D17" s="12"/>
    </row>
    <row r="18" spans="1:4" ht="36" customHeight="1" x14ac:dyDescent="0.25">
      <c r="A18" s="12"/>
      <c r="B18" s="96" t="s">
        <v>181</v>
      </c>
      <c r="C18" s="12"/>
      <c r="D18" s="12"/>
    </row>
    <row r="19" spans="1:4" ht="24" customHeight="1" x14ac:dyDescent="0.25">
      <c r="A19" s="12"/>
      <c r="B19" s="95" t="s">
        <v>182</v>
      </c>
      <c r="C19" s="12"/>
      <c r="D19" s="12"/>
    </row>
    <row r="20" spans="1:4" ht="36" customHeight="1" x14ac:dyDescent="0.25">
      <c r="A20" s="12"/>
      <c r="B20" s="96" t="s">
        <v>183</v>
      </c>
      <c r="C20" s="12"/>
      <c r="D20" s="12"/>
    </row>
    <row r="21" spans="1:4" ht="24" customHeight="1" x14ac:dyDescent="0.25">
      <c r="A21" s="12"/>
      <c r="B21" s="95" t="s">
        <v>184</v>
      </c>
      <c r="C21" s="12"/>
      <c r="D21" s="12"/>
    </row>
    <row r="22" spans="1:4" ht="36" customHeight="1" x14ac:dyDescent="0.25">
      <c r="A22" s="12"/>
      <c r="B22" s="93" t="s">
        <v>185</v>
      </c>
      <c r="C22" s="12"/>
      <c r="D22" s="12"/>
    </row>
    <row r="23" spans="1:4" ht="9.9499999999999993" customHeight="1" x14ac:dyDescent="0.25">
      <c r="A23" s="12"/>
      <c r="B23" s="12"/>
      <c r="C23" s="12"/>
      <c r="D23" s="12"/>
    </row>
    <row r="24" spans="1:4" ht="27.95" customHeight="1" x14ac:dyDescent="0.3">
      <c r="A24" s="12"/>
      <c r="B24" s="97" t="s">
        <v>186</v>
      </c>
      <c r="C24" s="12"/>
      <c r="D24" s="12"/>
    </row>
    <row r="25" spans="1:4" ht="32.1" customHeight="1" x14ac:dyDescent="0.25">
      <c r="A25" s="12"/>
      <c r="B25" s="96" t="s">
        <v>187</v>
      </c>
      <c r="C25" s="12"/>
      <c r="D25" s="12"/>
    </row>
    <row r="26" spans="1:4" ht="32.1" customHeight="1" x14ac:dyDescent="0.25">
      <c r="A26" s="12"/>
      <c r="B26" s="98" t="s">
        <v>188</v>
      </c>
      <c r="C26" s="12"/>
      <c r="D26" s="12"/>
    </row>
    <row r="27" spans="1:4" ht="32.1" customHeight="1" x14ac:dyDescent="0.25">
      <c r="A27" s="12"/>
      <c r="B27" s="96" t="s">
        <v>189</v>
      </c>
      <c r="C27" s="12"/>
      <c r="D27" s="12"/>
    </row>
    <row r="28" spans="1:4" ht="32.1" customHeight="1" x14ac:dyDescent="0.25">
      <c r="A28" s="12"/>
      <c r="B28" s="98" t="s">
        <v>190</v>
      </c>
      <c r="C28" s="12"/>
      <c r="D28" s="12"/>
    </row>
    <row r="29" spans="1:4" ht="32.1" customHeight="1" x14ac:dyDescent="0.25">
      <c r="A29" s="12"/>
      <c r="B29" s="96" t="s">
        <v>191</v>
      </c>
      <c r="C29" s="12"/>
      <c r="D29" s="12"/>
    </row>
    <row r="30" spans="1:4" ht="32.1" customHeight="1" x14ac:dyDescent="0.25">
      <c r="A30" s="12"/>
      <c r="B30" s="98" t="s">
        <v>192</v>
      </c>
      <c r="C30" s="12"/>
      <c r="D30" s="12"/>
    </row>
    <row r="31" spans="1:4" ht="32.1" customHeight="1" x14ac:dyDescent="0.25">
      <c r="A31" s="12"/>
      <c r="B31" s="96" t="s">
        <v>193</v>
      </c>
      <c r="C31" s="12"/>
      <c r="D31" s="12"/>
    </row>
    <row r="32" spans="1:4" ht="32.1" customHeight="1" x14ac:dyDescent="0.25">
      <c r="A32" s="12"/>
      <c r="B32" s="99" t="s">
        <v>194</v>
      </c>
      <c r="C32" s="12"/>
      <c r="D32" s="12"/>
    </row>
    <row r="33" spans="1:4" ht="9.9499999999999993" customHeight="1" x14ac:dyDescent="0.25">
      <c r="A33" s="12"/>
      <c r="B33" s="12"/>
      <c r="C33" s="12"/>
      <c r="D33" s="12"/>
    </row>
    <row r="34" spans="1:4" ht="27.95" customHeight="1" x14ac:dyDescent="0.3">
      <c r="A34" s="12"/>
      <c r="B34" s="100" t="s">
        <v>195</v>
      </c>
      <c r="C34" s="12"/>
      <c r="D34" s="12"/>
    </row>
    <row r="35" spans="1:4" ht="24" customHeight="1" x14ac:dyDescent="0.25">
      <c r="A35" s="12"/>
      <c r="B35" s="95" t="s">
        <v>196</v>
      </c>
      <c r="C35" s="12"/>
      <c r="D35" s="12"/>
    </row>
    <row r="36" spans="1:4" ht="36" customHeight="1" x14ac:dyDescent="0.25">
      <c r="A36" s="12"/>
      <c r="B36" s="96" t="s">
        <v>197</v>
      </c>
      <c r="C36" s="12"/>
      <c r="D36" s="12"/>
    </row>
    <row r="37" spans="1:4" ht="24" customHeight="1" x14ac:dyDescent="0.25">
      <c r="A37" s="12"/>
      <c r="B37" s="95" t="s">
        <v>198</v>
      </c>
      <c r="C37" s="12"/>
      <c r="D37" s="12"/>
    </row>
    <row r="38" spans="1:4" ht="36" customHeight="1" x14ac:dyDescent="0.25">
      <c r="A38" s="12"/>
      <c r="B38" s="96" t="s">
        <v>199</v>
      </c>
      <c r="C38" s="12"/>
      <c r="D38" s="12"/>
    </row>
    <row r="39" spans="1:4" ht="24" customHeight="1" x14ac:dyDescent="0.25">
      <c r="A39" s="12"/>
      <c r="B39" s="95" t="s">
        <v>200</v>
      </c>
      <c r="C39" s="12"/>
      <c r="D39" s="12"/>
    </row>
    <row r="40" spans="1:4" ht="36" customHeight="1" x14ac:dyDescent="0.25">
      <c r="A40" s="12"/>
      <c r="B40" s="96" t="s">
        <v>201</v>
      </c>
      <c r="C40" s="12"/>
      <c r="D40" s="12"/>
    </row>
    <row r="41" spans="1:4" ht="24" customHeight="1" x14ac:dyDescent="0.25">
      <c r="A41" s="12"/>
      <c r="B41" s="95" t="s">
        <v>202</v>
      </c>
      <c r="C41" s="12"/>
      <c r="D41" s="12"/>
    </row>
    <row r="42" spans="1:4" ht="36" customHeight="1" x14ac:dyDescent="0.25">
      <c r="A42" s="12"/>
      <c r="B42" s="96" t="s">
        <v>203</v>
      </c>
      <c r="C42" s="12"/>
      <c r="D42" s="12"/>
    </row>
    <row r="43" spans="1:4" ht="24" customHeight="1" x14ac:dyDescent="0.25">
      <c r="A43" s="12"/>
      <c r="B43" s="95" t="s">
        <v>204</v>
      </c>
      <c r="C43" s="12"/>
      <c r="D43" s="12"/>
    </row>
    <row r="44" spans="1:4" ht="36" customHeight="1" x14ac:dyDescent="0.25">
      <c r="A44" s="12"/>
      <c r="B44" s="93" t="s">
        <v>205</v>
      </c>
      <c r="C44" s="12"/>
      <c r="D44" s="12"/>
    </row>
    <row r="45" spans="1:4" ht="9.9499999999999993" customHeight="1" x14ac:dyDescent="0.25">
      <c r="A45" s="12"/>
      <c r="B45" s="12"/>
      <c r="C45" s="12"/>
      <c r="D45" s="12"/>
    </row>
    <row r="46" spans="1:4" ht="27.95" customHeight="1" x14ac:dyDescent="0.3">
      <c r="A46" s="12"/>
      <c r="B46" s="94" t="s">
        <v>206</v>
      </c>
      <c r="C46" s="12"/>
      <c r="D46" s="12"/>
    </row>
    <row r="47" spans="1:4" ht="51.95" customHeight="1" x14ac:dyDescent="0.25">
      <c r="A47" s="12"/>
      <c r="B47" s="101" t="s">
        <v>207</v>
      </c>
      <c r="C47" s="12"/>
      <c r="D47" s="12"/>
    </row>
    <row r="48" spans="1:4" ht="9.9499999999999993" customHeight="1" x14ac:dyDescent="0.25">
      <c r="A48" s="12"/>
      <c r="B48" s="12"/>
      <c r="C48" s="12"/>
      <c r="D48" s="12"/>
    </row>
    <row r="49" spans="1:4" ht="27.95" customHeight="1" x14ac:dyDescent="0.3">
      <c r="A49" s="12"/>
      <c r="B49" s="102" t="s">
        <v>208</v>
      </c>
      <c r="C49" s="12"/>
      <c r="D49" s="12"/>
    </row>
    <row r="50" spans="1:4" ht="36" customHeight="1" x14ac:dyDescent="0.25">
      <c r="A50" s="12"/>
      <c r="B50" s="101" t="s">
        <v>209</v>
      </c>
      <c r="C50" s="12"/>
      <c r="D50" s="12"/>
    </row>
    <row r="51" spans="1:4" ht="9.9499999999999993" customHeight="1" x14ac:dyDescent="0.25">
      <c r="A51" s="12"/>
      <c r="B51" s="12"/>
      <c r="C51" s="12"/>
      <c r="D51" s="12"/>
    </row>
    <row r="52" spans="1:4" ht="21.95" customHeight="1" x14ac:dyDescent="0.25">
      <c r="A52" s="12"/>
      <c r="B52" s="89" t="s">
        <v>210</v>
      </c>
      <c r="C52" s="12"/>
      <c r="D52" s="12"/>
    </row>
    <row r="53" spans="1:4" x14ac:dyDescent="0.25">
      <c r="A53" s="12"/>
      <c r="B53" s="12"/>
      <c r="C53" s="12"/>
      <c r="D53" s="12"/>
    </row>
    <row r="54" spans="1:4" x14ac:dyDescent="0.25">
      <c r="A54" s="12"/>
      <c r="B54" s="12"/>
      <c r="C54" s="12"/>
      <c r="D54" s="12"/>
    </row>
    <row r="55" spans="1:4" x14ac:dyDescent="0.25">
      <c r="A55" s="12"/>
      <c r="B55" s="12"/>
      <c r="C55" s="12"/>
      <c r="D55" s="12"/>
    </row>
    <row r="56" spans="1:4" x14ac:dyDescent="0.25">
      <c r="A56" s="12"/>
      <c r="B56" s="12"/>
      <c r="C56" s="12"/>
      <c r="D56" s="12"/>
    </row>
    <row r="57" spans="1:4" x14ac:dyDescent="0.25">
      <c r="A57" s="12"/>
      <c r="B57" s="12"/>
      <c r="C57" s="12"/>
      <c r="D57" s="12"/>
    </row>
    <row r="58" spans="1:4" x14ac:dyDescent="0.25">
      <c r="A58" s="12"/>
      <c r="B58" s="12"/>
      <c r="C58" s="12"/>
      <c r="D58" s="12"/>
    </row>
    <row r="59" spans="1:4" x14ac:dyDescent="0.25">
      <c r="A59" s="12"/>
      <c r="B59" s="12"/>
      <c r="C59" s="12"/>
      <c r="D59" s="12"/>
    </row>
    <row r="60" spans="1:4" x14ac:dyDescent="0.25">
      <c r="A60" s="12"/>
      <c r="B60" s="12"/>
      <c r="C60" s="12"/>
      <c r="D60" s="12"/>
    </row>
    <row r="61" spans="1:4" x14ac:dyDescent="0.25">
      <c r="A61" s="1"/>
      <c r="B61" s="1"/>
      <c r="C61" s="1"/>
    </row>
    <row r="62" spans="1:4" x14ac:dyDescent="0.25">
      <c r="A62" s="1"/>
      <c r="B62" s="1"/>
      <c r="C62" s="1"/>
    </row>
    <row r="63" spans="1:4" x14ac:dyDescent="0.25">
      <c r="A63" s="1"/>
      <c r="B63" s="1"/>
      <c r="C63" s="1"/>
    </row>
    <row r="64" spans="1:4" x14ac:dyDescent="0.25">
      <c r="A64" s="1"/>
      <c r="B64" s="1"/>
      <c r="C64" s="1"/>
    </row>
    <row r="65" spans="1:3" x14ac:dyDescent="0.25">
      <c r="A65" s="1"/>
      <c r="B65" s="1"/>
      <c r="C65" s="1"/>
    </row>
    <row r="66" spans="1:3" x14ac:dyDescent="0.25">
      <c r="A66" s="1"/>
      <c r="B66" s="1"/>
      <c r="C66" s="1"/>
    </row>
    <row r="67" spans="1:3" x14ac:dyDescent="0.25">
      <c r="A67" s="1"/>
      <c r="B67" s="1"/>
      <c r="C67" s="1"/>
    </row>
    <row r="68" spans="1:3" x14ac:dyDescent="0.25">
      <c r="A68" s="1"/>
      <c r="B68" s="1"/>
      <c r="C68" s="1"/>
    </row>
    <row r="69" spans="1:3" x14ac:dyDescent="0.25">
      <c r="A69" s="1"/>
      <c r="B69" s="1"/>
      <c r="C69" s="1"/>
    </row>
  </sheetData>
  <sheetProtection sheet="1" objects="1" scenarios="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 Dashboard</vt:lpstr>
      <vt:lpstr>📋 Monthly Budget</vt:lpstr>
      <vt:lpstr>📈 Annual Summary</vt:lpstr>
      <vt:lpstr>⚙️ Categories</vt:lpstr>
      <vt:lpstr>📖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Belkis Aslani</cp:lastModifiedBy>
  <dcterms:created xsi:type="dcterms:W3CDTF">2026-02-23T13:18:19Z</dcterms:created>
  <dcterms:modified xsi:type="dcterms:W3CDTF">2026-02-23T18:07:35Z</dcterms:modified>
</cp:coreProperties>
</file>